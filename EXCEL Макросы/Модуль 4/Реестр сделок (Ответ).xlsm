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IT\SKILLBOX\EXCEL &amp; Google\Макросы\Модуль 4\"/>
    </mc:Choice>
  </mc:AlternateContent>
  <bookViews>
    <workbookView xWindow="0" yWindow="0" windowWidth="20490" windowHeight="7620"/>
  </bookViews>
  <sheets>
    <sheet name="Сделки" sheetId="1" r:id="rId1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" i="1"/>
</calcChain>
</file>

<file path=xl/sharedStrings.xml><?xml version="1.0" encoding="utf-8"?>
<sst xmlns="http://schemas.openxmlformats.org/spreadsheetml/2006/main" count="173" uniqueCount="50">
  <si>
    <t>Менеджер</t>
  </si>
  <si>
    <t>Дата первой встречи</t>
  </si>
  <si>
    <t>Компания-клиент</t>
  </si>
  <si>
    <t>Статус клиента</t>
  </si>
  <si>
    <t>Продукт</t>
  </si>
  <si>
    <t>Канал</t>
  </si>
  <si>
    <t>Коммерческое предложение</t>
  </si>
  <si>
    <t>Статус сделки</t>
  </si>
  <si>
    <t>Факт оплаты</t>
  </si>
  <si>
    <t>Дата оплаты</t>
  </si>
  <si>
    <t>Лазарев</t>
  </si>
  <si>
    <t>МЕГАПОЛИС, торговая компания</t>
  </si>
  <si>
    <t>Постоянный</t>
  </si>
  <si>
    <t>Канцелярские товары</t>
  </si>
  <si>
    <t>Холодный звонок</t>
  </si>
  <si>
    <t>Торг/согласование</t>
  </si>
  <si>
    <t>Росатом, госкорпорация</t>
  </si>
  <si>
    <t>Работа с постоянными</t>
  </si>
  <si>
    <t>Закрыта</t>
  </si>
  <si>
    <t>Аэрофлот</t>
  </si>
  <si>
    <t>ЛУКОЙЛ</t>
  </si>
  <si>
    <t>В оплате</t>
  </si>
  <si>
    <t>Лента (сеть гипермаркетов)</t>
  </si>
  <si>
    <t>Новый</t>
  </si>
  <si>
    <t>Бытовая техника</t>
  </si>
  <si>
    <t>Сайт</t>
  </si>
  <si>
    <t>Сбербанк России</t>
  </si>
  <si>
    <t>КП</t>
  </si>
  <si>
    <t>Транснефть, АК</t>
  </si>
  <si>
    <t>Выставка</t>
  </si>
  <si>
    <t>Роснефть, нефтяная компания</t>
  </si>
  <si>
    <t>Другой</t>
  </si>
  <si>
    <t>РусГидро</t>
  </si>
  <si>
    <t>НОВАТЭК</t>
  </si>
  <si>
    <t>Объединенная авиастроительная корпорация</t>
  </si>
  <si>
    <t>Отказ</t>
  </si>
  <si>
    <t>Дж.Т.И. Россия</t>
  </si>
  <si>
    <t>Мебель</t>
  </si>
  <si>
    <t>Интер РАО</t>
  </si>
  <si>
    <t>СИБУР Холдинг</t>
  </si>
  <si>
    <t>ВымпелКом</t>
  </si>
  <si>
    <t>Система, АФК</t>
  </si>
  <si>
    <t>ММК</t>
  </si>
  <si>
    <t>Металлоинвест, холдинговая компания</t>
  </si>
  <si>
    <t>Татнефть</t>
  </si>
  <si>
    <t>УГМК</t>
  </si>
  <si>
    <t>РЖД</t>
  </si>
  <si>
    <t>МегаФон</t>
  </si>
  <si>
    <t>Месяц</t>
  </si>
  <si>
    <t>Никулин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</si>
</sst>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dd\.mm\.yyyy"/>
    <numFmt numFmtId="165" formatCode="_-* #,##0_-;\-* #,##0_-;_-* &quot;-&quot;??_-;_-@_-"/>
  </numFmts>
  <fonts count="4" x14ac:knownFonts="1">
    <font>
      <sz val="10"/>
      <color rgb="FF000000"/>
      <name val="Arial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0" borderId="0" xfId="0" applyFont="1" applyAlignment="1"/>
    <xf numFmtId="164" fontId="2" fillId="0" borderId="0" xfId="0" applyNumberFormat="1" applyFont="1" applyAlignment="1">
      <alignment horizontal="right"/>
    </xf>
    <xf numFmtId="3" fontId="2" fillId="0" borderId="0" xfId="0" applyNumberFormat="1" applyFont="1" applyAlignment="1">
      <alignment horizontal="right"/>
    </xf>
    <xf numFmtId="3" fontId="2" fillId="0" borderId="0" xfId="0" applyNumberFormat="1" applyFont="1" applyAlignment="1"/>
    <xf numFmtId="164" fontId="2" fillId="0" borderId="0" xfId="0" applyNumberFormat="1" applyFont="1" applyAlignment="1"/>
    <xf numFmtId="164" fontId="2" fillId="0" borderId="0" xfId="0" applyNumberFormat="1" applyFont="1" applyAlignment="1">
      <alignment horizontal="right"/>
    </xf>
    <xf numFmtId="165" fontId="2" fillId="0" borderId="0" xfId="1" applyNumberFormat="1" applyFont="1" applyAlignment="1">
      <alignment horizontal="right"/>
    </xf>
    <xf numFmtId="0" fontId="1" fillId="0" borderId="0" xfId="0" applyFont="1" applyFill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28575</xdr:rowOff>
    </xdr:from>
    <xdr:to>
      <xdr:col>7</xdr:col>
      <xdr:colOff>657225</xdr:colOff>
      <xdr:row>7</xdr:row>
      <xdr:rowOff>28575</xdr:rowOff>
    </xdr:to>
    <xdr:sp macro="" textlink="">
      <xdr:nvSpPr>
        <xdr:cNvPr id="2" name="Прямоугольник 1"/>
        <xdr:cNvSpPr/>
      </xdr:nvSpPr>
      <xdr:spPr>
        <a:xfrm>
          <a:off x="2390775" y="762000"/>
          <a:ext cx="7762875" cy="100012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/>
          <a:r>
            <a:rPr lang="ru-RU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Задание 1</a:t>
          </a:r>
          <a:endParaRPr lang="ru-RU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rtl="0"/>
          <a:r>
            <a:rPr lang="ru-RU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В файле с реестром сделок создайте пользовательскую функцию с двумя аргументами — статусом клиента и суммой коммерческого предложения. Функция должна возвращать 5% от суммы коммерческого предложения в том случае, если сумма сделки больше 1 миллиона рублей и клиент постоянный.</a:t>
          </a:r>
        </a:p>
        <a:p>
          <a:pPr rtl="0"/>
          <a:r>
            <a:rPr lang="ru-RU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Сохраните файл с модулем, в котором хранится эта функция, и отправьте на проверку.</a:t>
          </a:r>
        </a:p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outlinePr summaryBelow="0" summaryRight="0"/>
  </sheetPr>
  <dimension ref="A1:K30"/>
  <sheetViews>
    <sheetView tabSelected="1" topLeftCell="E1" workbookViewId="0">
      <pane ySplit="1" topLeftCell="A2" activePane="bottomLeft" state="frozen"/>
      <selection pane="bottomLeft" activeCell="L2" sqref="L2:L10"/>
    </sheetView>
  </sheetViews>
  <sheetFormatPr defaultColWidth="14.42578125" defaultRowHeight="15.75" customHeight="1" x14ac:dyDescent="0.2"/>
  <cols>
    <col min="2" max="3" width="15.7109375" customWidth="1"/>
    <col min="4" max="4" width="38.5703125" customWidth="1"/>
    <col min="6" max="6" width="22.85546875" customWidth="1"/>
    <col min="7" max="7" width="20.7109375" customWidth="1"/>
    <col min="9" max="9" width="18.85546875" customWidth="1"/>
  </cols>
  <sheetData>
    <row r="1" spans="1:11" ht="42" customHeight="1" x14ac:dyDescent="0.2">
      <c r="A1" s="1" t="s">
        <v>0</v>
      </c>
      <c r="B1" s="2" t="s">
        <v>1</v>
      </c>
      <c r="C1" s="3" t="s">
        <v>48</v>
      </c>
      <c r="D1" s="1" t="s">
        <v>2</v>
      </c>
      <c r="E1" s="1" t="s">
        <v>3</v>
      </c>
      <c r="F1" s="1" t="s">
        <v>4</v>
      </c>
      <c r="G1" s="1" t="s">
        <v>5</v>
      </c>
      <c r="H1" s="3" t="s">
        <v>6</v>
      </c>
      <c r="I1" s="11" t="s">
        <v>7</v>
      </c>
      <c r="J1" s="11" t="s">
        <v>8</v>
      </c>
      <c r="K1" s="11" t="s">
        <v>9</v>
      </c>
    </row>
    <row r="2" spans="1:11" ht="15.75" customHeight="1" x14ac:dyDescent="0.2">
      <c r="A2" s="4" t="s">
        <v>10</v>
      </c>
      <c r="B2" s="5">
        <v>43557</v>
      </c>
      <c r="C2" s="10">
        <f>MONTH(B2)</f>
        <v>4</v>
      </c>
      <c r="D2" s="4" t="s">
        <v>11</v>
      </c>
      <c r="E2" s="4" t="s">
        <v>12</v>
      </c>
      <c r="F2" s="4" t="s">
        <v>13</v>
      </c>
      <c r="G2" s="4" t="s">
        <v>14</v>
      </c>
      <c r="H2" s="6">
        <v>1300000</v>
      </c>
      <c r="I2" s="4" t="s">
        <v>15</v>
      </c>
      <c r="J2" s="7"/>
      <c r="K2" s="8"/>
    </row>
    <row r="3" spans="1:11" ht="15.75" customHeight="1" x14ac:dyDescent="0.2">
      <c r="A3" s="4" t="s">
        <v>10</v>
      </c>
      <c r="B3" s="5">
        <v>43492</v>
      </c>
      <c r="C3" s="10">
        <f t="shared" ref="C3:C28" si="0">MONTH(B3)</f>
        <v>1</v>
      </c>
      <c r="D3" s="4" t="s">
        <v>16</v>
      </c>
      <c r="E3" s="4" t="s">
        <v>12</v>
      </c>
      <c r="F3" s="4" t="s">
        <v>13</v>
      </c>
      <c r="G3" s="4" t="s">
        <v>17</v>
      </c>
      <c r="H3" s="6">
        <v>1700000</v>
      </c>
      <c r="I3" s="4" t="s">
        <v>18</v>
      </c>
      <c r="J3" s="6"/>
      <c r="K3" s="5">
        <v>43542</v>
      </c>
    </row>
    <row r="4" spans="1:11" ht="15.75" customHeight="1" x14ac:dyDescent="0.2">
      <c r="A4" s="4" t="s">
        <v>10</v>
      </c>
      <c r="B4" s="5">
        <v>43529</v>
      </c>
      <c r="C4" s="10">
        <f t="shared" si="0"/>
        <v>3</v>
      </c>
      <c r="D4" s="4" t="s">
        <v>19</v>
      </c>
      <c r="E4" s="4" t="s">
        <v>12</v>
      </c>
      <c r="F4" s="4" t="s">
        <v>13</v>
      </c>
      <c r="G4" s="4" t="s">
        <v>17</v>
      </c>
      <c r="H4" s="6">
        <v>600000</v>
      </c>
      <c r="I4" s="4" t="s">
        <v>18</v>
      </c>
      <c r="J4" s="6">
        <v>600000</v>
      </c>
      <c r="K4" s="5">
        <v>43563</v>
      </c>
    </row>
    <row r="5" spans="1:11" ht="15.75" customHeight="1" x14ac:dyDescent="0.2">
      <c r="A5" s="4" t="s">
        <v>10</v>
      </c>
      <c r="B5" s="5">
        <v>43678</v>
      </c>
      <c r="C5" s="10">
        <f t="shared" si="0"/>
        <v>8</v>
      </c>
      <c r="D5" s="4" t="s">
        <v>20</v>
      </c>
      <c r="E5" s="4" t="s">
        <v>12</v>
      </c>
      <c r="F5" s="4" t="s">
        <v>13</v>
      </c>
      <c r="G5" s="4" t="s">
        <v>17</v>
      </c>
      <c r="H5" s="6">
        <v>1700000</v>
      </c>
      <c r="I5" s="4" t="s">
        <v>21</v>
      </c>
      <c r="J5" s="7"/>
      <c r="K5" s="8"/>
    </row>
    <row r="6" spans="1:11" ht="15.75" customHeight="1" x14ac:dyDescent="0.2">
      <c r="A6" s="4" t="s">
        <v>10</v>
      </c>
      <c r="B6" s="5">
        <v>43501</v>
      </c>
      <c r="C6" s="10">
        <f t="shared" si="0"/>
        <v>2</v>
      </c>
      <c r="D6" s="4" t="s">
        <v>22</v>
      </c>
      <c r="E6" s="4" t="s">
        <v>23</v>
      </c>
      <c r="F6" s="4" t="s">
        <v>24</v>
      </c>
      <c r="G6" s="4" t="s">
        <v>25</v>
      </c>
      <c r="H6" s="6">
        <v>1000000</v>
      </c>
      <c r="I6" s="4" t="s">
        <v>15</v>
      </c>
      <c r="J6" s="7"/>
      <c r="K6" s="8"/>
    </row>
    <row r="7" spans="1:11" ht="15.75" customHeight="1" x14ac:dyDescent="0.2">
      <c r="A7" s="4" t="s">
        <v>10</v>
      </c>
      <c r="B7" s="5">
        <v>43712</v>
      </c>
      <c r="C7" s="10">
        <f t="shared" si="0"/>
        <v>9</v>
      </c>
      <c r="D7" s="4" t="s">
        <v>26</v>
      </c>
      <c r="E7" s="4" t="s">
        <v>12</v>
      </c>
      <c r="F7" s="4" t="s">
        <v>24</v>
      </c>
      <c r="G7" s="4" t="s">
        <v>17</v>
      </c>
      <c r="H7" s="6">
        <v>300000</v>
      </c>
      <c r="I7" s="4" t="s">
        <v>27</v>
      </c>
      <c r="J7" s="7"/>
      <c r="K7" s="8"/>
    </row>
    <row r="8" spans="1:11" ht="15.75" customHeight="1" x14ac:dyDescent="0.2">
      <c r="A8" s="4" t="s">
        <v>10</v>
      </c>
      <c r="B8" s="5">
        <v>43556</v>
      </c>
      <c r="C8" s="10">
        <f t="shared" si="0"/>
        <v>4</v>
      </c>
      <c r="D8" s="4" t="s">
        <v>28</v>
      </c>
      <c r="E8" s="4" t="s">
        <v>23</v>
      </c>
      <c r="F8" s="4" t="s">
        <v>13</v>
      </c>
      <c r="G8" s="4" t="s">
        <v>29</v>
      </c>
      <c r="H8" s="6">
        <v>1400000</v>
      </c>
      <c r="I8" s="4" t="s">
        <v>18</v>
      </c>
      <c r="J8" s="6">
        <v>1470565</v>
      </c>
      <c r="K8" s="5">
        <v>43324</v>
      </c>
    </row>
    <row r="9" spans="1:11" ht="15.75" customHeight="1" x14ac:dyDescent="0.2">
      <c r="A9" s="4" t="s">
        <v>10</v>
      </c>
      <c r="B9" s="5">
        <v>43830</v>
      </c>
      <c r="C9" s="10">
        <f t="shared" si="0"/>
        <v>12</v>
      </c>
      <c r="D9" s="4" t="s">
        <v>30</v>
      </c>
      <c r="E9" s="4" t="s">
        <v>12</v>
      </c>
      <c r="F9" s="4" t="s">
        <v>24</v>
      </c>
      <c r="G9" s="4" t="s">
        <v>31</v>
      </c>
      <c r="H9" s="6">
        <v>1400000</v>
      </c>
      <c r="I9" s="4" t="s">
        <v>21</v>
      </c>
      <c r="J9" s="7"/>
      <c r="K9" s="8"/>
    </row>
    <row r="10" spans="1:11" ht="15.75" customHeight="1" x14ac:dyDescent="0.2">
      <c r="A10" s="4" t="s">
        <v>10</v>
      </c>
      <c r="B10" s="9">
        <v>43481</v>
      </c>
      <c r="C10" s="10">
        <f t="shared" si="0"/>
        <v>1</v>
      </c>
      <c r="D10" s="4" t="s">
        <v>32</v>
      </c>
      <c r="E10" s="4" t="s">
        <v>12</v>
      </c>
      <c r="F10" s="4" t="s">
        <v>24</v>
      </c>
      <c r="G10" s="4" t="s">
        <v>14</v>
      </c>
      <c r="H10" s="6">
        <v>1000000</v>
      </c>
      <c r="I10" s="4" t="s">
        <v>15</v>
      </c>
      <c r="J10" s="7"/>
      <c r="K10" s="8"/>
    </row>
    <row r="11" spans="1:11" ht="15.75" customHeight="1" x14ac:dyDescent="0.2">
      <c r="A11" s="4" t="s">
        <v>10</v>
      </c>
      <c r="B11" s="5">
        <v>43599</v>
      </c>
      <c r="C11" s="10">
        <f t="shared" si="0"/>
        <v>5</v>
      </c>
      <c r="D11" s="4" t="s">
        <v>33</v>
      </c>
      <c r="E11" s="4" t="s">
        <v>12</v>
      </c>
      <c r="F11" s="4" t="s">
        <v>24</v>
      </c>
      <c r="G11" s="4" t="s">
        <v>25</v>
      </c>
      <c r="H11" s="6">
        <v>2000000</v>
      </c>
      <c r="I11" s="4" t="s">
        <v>18</v>
      </c>
      <c r="J11" s="6">
        <v>2000000</v>
      </c>
      <c r="K11" s="5">
        <v>43719</v>
      </c>
    </row>
    <row r="12" spans="1:11" ht="15.75" customHeight="1" x14ac:dyDescent="0.2">
      <c r="A12" s="4" t="s">
        <v>10</v>
      </c>
      <c r="B12" s="5">
        <v>43798</v>
      </c>
      <c r="C12" s="10">
        <f t="shared" si="0"/>
        <v>11</v>
      </c>
      <c r="D12" s="4" t="s">
        <v>34</v>
      </c>
      <c r="E12" s="4" t="s">
        <v>12</v>
      </c>
      <c r="F12" s="4" t="s">
        <v>24</v>
      </c>
      <c r="G12" s="4" t="s">
        <v>14</v>
      </c>
      <c r="H12" s="6">
        <v>95000</v>
      </c>
      <c r="I12" s="4" t="s">
        <v>27</v>
      </c>
      <c r="J12" s="7"/>
      <c r="K12" s="8"/>
    </row>
    <row r="13" spans="1:11" ht="15.75" customHeight="1" x14ac:dyDescent="0.2">
      <c r="A13" s="4" t="s">
        <v>10</v>
      </c>
      <c r="B13" s="5">
        <v>43621</v>
      </c>
      <c r="C13" s="10">
        <f t="shared" si="0"/>
        <v>6</v>
      </c>
      <c r="D13" s="4" t="s">
        <v>34</v>
      </c>
      <c r="E13" s="4" t="s">
        <v>12</v>
      </c>
      <c r="F13" s="4" t="s">
        <v>13</v>
      </c>
      <c r="G13" s="4" t="s">
        <v>31</v>
      </c>
      <c r="H13" s="6">
        <v>2000000</v>
      </c>
      <c r="I13" s="4" t="s">
        <v>35</v>
      </c>
      <c r="J13" s="7"/>
      <c r="K13" s="8"/>
    </row>
    <row r="14" spans="1:11" ht="15.75" customHeight="1" x14ac:dyDescent="0.2">
      <c r="A14" s="4" t="s">
        <v>49</v>
      </c>
      <c r="B14" s="5">
        <v>43613</v>
      </c>
      <c r="C14" s="10">
        <f t="shared" si="0"/>
        <v>5</v>
      </c>
      <c r="D14" s="4" t="s">
        <v>36</v>
      </c>
      <c r="E14" s="4" t="s">
        <v>12</v>
      </c>
      <c r="F14" s="4" t="s">
        <v>37</v>
      </c>
      <c r="G14" s="4" t="s">
        <v>31</v>
      </c>
      <c r="H14" s="6">
        <v>1000000</v>
      </c>
      <c r="I14" s="4" t="s">
        <v>15</v>
      </c>
      <c r="J14" s="7"/>
      <c r="K14" s="8"/>
    </row>
    <row r="15" spans="1:11" ht="15.75" customHeight="1" x14ac:dyDescent="0.2">
      <c r="A15" s="4" t="s">
        <v>49</v>
      </c>
      <c r="B15" s="5">
        <v>43662</v>
      </c>
      <c r="C15" s="10">
        <f t="shared" si="0"/>
        <v>7</v>
      </c>
      <c r="D15" s="4" t="s">
        <v>33</v>
      </c>
      <c r="E15" s="4" t="s">
        <v>12</v>
      </c>
      <c r="F15" s="4" t="s">
        <v>37</v>
      </c>
      <c r="G15" s="4" t="s">
        <v>29</v>
      </c>
      <c r="H15" s="6">
        <v>600000</v>
      </c>
      <c r="I15" s="4" t="s">
        <v>27</v>
      </c>
      <c r="J15" s="7"/>
      <c r="K15" s="8"/>
    </row>
    <row r="16" spans="1:11" ht="15.75" customHeight="1" x14ac:dyDescent="0.2">
      <c r="A16" s="4" t="s">
        <v>49</v>
      </c>
      <c r="B16" s="5">
        <v>43469</v>
      </c>
      <c r="C16" s="10">
        <f t="shared" si="0"/>
        <v>1</v>
      </c>
      <c r="D16" s="4" t="s">
        <v>38</v>
      </c>
      <c r="E16" s="4" t="s">
        <v>12</v>
      </c>
      <c r="F16" s="4" t="s">
        <v>37</v>
      </c>
      <c r="G16" s="4" t="s">
        <v>25</v>
      </c>
      <c r="H16" s="6">
        <v>400000</v>
      </c>
      <c r="I16" s="4" t="s">
        <v>27</v>
      </c>
      <c r="J16" s="7"/>
      <c r="K16" s="8"/>
    </row>
    <row r="17" spans="1:11" ht="15.75" customHeight="1" x14ac:dyDescent="0.2">
      <c r="A17" s="4" t="s">
        <v>49</v>
      </c>
      <c r="B17" s="5">
        <v>43631</v>
      </c>
      <c r="C17" s="10">
        <f t="shared" si="0"/>
        <v>6</v>
      </c>
      <c r="D17" s="4" t="s">
        <v>39</v>
      </c>
      <c r="E17" s="4" t="s">
        <v>12</v>
      </c>
      <c r="F17" s="4" t="s">
        <v>24</v>
      </c>
      <c r="G17" s="4" t="s">
        <v>29</v>
      </c>
      <c r="H17" s="6">
        <v>1500000</v>
      </c>
      <c r="I17" s="4" t="s">
        <v>18</v>
      </c>
      <c r="J17" s="6">
        <v>1558171</v>
      </c>
      <c r="K17" s="5">
        <v>43350</v>
      </c>
    </row>
    <row r="18" spans="1:11" ht="15.75" customHeight="1" x14ac:dyDescent="0.2">
      <c r="A18" s="4" t="s">
        <v>49</v>
      </c>
      <c r="B18" s="5">
        <v>43803</v>
      </c>
      <c r="C18" s="10">
        <f t="shared" si="0"/>
        <v>12</v>
      </c>
      <c r="D18" s="4" t="s">
        <v>38</v>
      </c>
      <c r="E18" s="4" t="s">
        <v>23</v>
      </c>
      <c r="F18" s="4" t="s">
        <v>37</v>
      </c>
      <c r="G18" s="4" t="s">
        <v>25</v>
      </c>
      <c r="H18" s="6">
        <v>700000</v>
      </c>
      <c r="I18" s="4" t="s">
        <v>35</v>
      </c>
      <c r="J18" s="7"/>
      <c r="K18" s="8"/>
    </row>
    <row r="19" spans="1:11" ht="15.75" customHeight="1" x14ac:dyDescent="0.2">
      <c r="A19" s="4" t="s">
        <v>49</v>
      </c>
      <c r="B19" s="5">
        <v>43561</v>
      </c>
      <c r="C19" s="10">
        <f t="shared" si="0"/>
        <v>4</v>
      </c>
      <c r="D19" s="4" t="s">
        <v>40</v>
      </c>
      <c r="E19" s="4" t="s">
        <v>23</v>
      </c>
      <c r="F19" s="4" t="s">
        <v>13</v>
      </c>
      <c r="G19" s="4" t="s">
        <v>31</v>
      </c>
      <c r="H19" s="6">
        <v>900000</v>
      </c>
      <c r="I19" s="4" t="s">
        <v>15</v>
      </c>
      <c r="J19" s="7"/>
      <c r="K19" s="8"/>
    </row>
    <row r="20" spans="1:11" ht="15.75" customHeight="1" x14ac:dyDescent="0.2">
      <c r="A20" s="4" t="s">
        <v>49</v>
      </c>
      <c r="B20" s="5">
        <v>43479</v>
      </c>
      <c r="C20" s="10">
        <f t="shared" si="0"/>
        <v>1</v>
      </c>
      <c r="D20" s="4" t="s">
        <v>41</v>
      </c>
      <c r="E20" s="4" t="s">
        <v>12</v>
      </c>
      <c r="F20" s="4" t="s">
        <v>13</v>
      </c>
      <c r="G20" s="4" t="s">
        <v>14</v>
      </c>
      <c r="H20" s="6">
        <v>1700000</v>
      </c>
      <c r="I20" s="4" t="s">
        <v>27</v>
      </c>
      <c r="J20" s="7"/>
      <c r="K20" s="8"/>
    </row>
    <row r="21" spans="1:11" ht="15.75" customHeight="1" x14ac:dyDescent="0.2">
      <c r="A21" s="4" t="s">
        <v>49</v>
      </c>
      <c r="B21" s="5">
        <v>43670</v>
      </c>
      <c r="C21" s="10">
        <f t="shared" si="0"/>
        <v>7</v>
      </c>
      <c r="D21" s="4" t="s">
        <v>33</v>
      </c>
      <c r="E21" s="4" t="s">
        <v>12</v>
      </c>
      <c r="F21" s="4" t="s">
        <v>24</v>
      </c>
      <c r="G21" s="4" t="s">
        <v>17</v>
      </c>
      <c r="H21" s="6">
        <v>500000</v>
      </c>
      <c r="I21" s="4" t="s">
        <v>15</v>
      </c>
      <c r="J21" s="7"/>
      <c r="K21" s="8"/>
    </row>
    <row r="22" spans="1:11" ht="15.75" customHeight="1" x14ac:dyDescent="0.2">
      <c r="A22" s="4" t="s">
        <v>49</v>
      </c>
      <c r="B22" s="5">
        <v>43631</v>
      </c>
      <c r="C22" s="10">
        <f t="shared" si="0"/>
        <v>6</v>
      </c>
      <c r="D22" s="4" t="s">
        <v>42</v>
      </c>
      <c r="E22" s="4" t="s">
        <v>12</v>
      </c>
      <c r="F22" s="4" t="s">
        <v>13</v>
      </c>
      <c r="G22" s="4" t="s">
        <v>14</v>
      </c>
      <c r="H22" s="6">
        <v>1800000</v>
      </c>
      <c r="I22" s="4" t="s">
        <v>15</v>
      </c>
      <c r="J22" s="7"/>
      <c r="K22" s="8"/>
    </row>
    <row r="23" spans="1:11" ht="15.75" customHeight="1" x14ac:dyDescent="0.2">
      <c r="A23" s="4" t="s">
        <v>49</v>
      </c>
      <c r="B23" s="5">
        <v>43705</v>
      </c>
      <c r="C23" s="10">
        <f t="shared" si="0"/>
        <v>8</v>
      </c>
      <c r="D23" s="4" t="s">
        <v>43</v>
      </c>
      <c r="E23" s="4" t="s">
        <v>12</v>
      </c>
      <c r="F23" s="4" t="s">
        <v>37</v>
      </c>
      <c r="G23" s="4" t="s">
        <v>25</v>
      </c>
      <c r="H23" s="6">
        <v>1100000</v>
      </c>
      <c r="I23" s="4" t="s">
        <v>18</v>
      </c>
      <c r="J23" s="6">
        <v>1100000</v>
      </c>
      <c r="K23" s="5">
        <v>43528</v>
      </c>
    </row>
    <row r="24" spans="1:11" ht="15.75" customHeight="1" x14ac:dyDescent="0.2">
      <c r="A24" s="4" t="s">
        <v>49</v>
      </c>
      <c r="B24" s="5">
        <v>43586</v>
      </c>
      <c r="C24" s="10">
        <f t="shared" si="0"/>
        <v>5</v>
      </c>
      <c r="D24" s="4" t="s">
        <v>44</v>
      </c>
      <c r="E24" s="4" t="s">
        <v>12</v>
      </c>
      <c r="F24" s="4" t="s">
        <v>24</v>
      </c>
      <c r="G24" s="4" t="s">
        <v>31</v>
      </c>
      <c r="H24" s="6">
        <v>1700000</v>
      </c>
      <c r="I24" s="4" t="s">
        <v>27</v>
      </c>
      <c r="J24" s="7"/>
      <c r="K24" s="8"/>
    </row>
    <row r="25" spans="1:11" ht="15.75" customHeight="1" x14ac:dyDescent="0.2">
      <c r="A25" s="4" t="s">
        <v>49</v>
      </c>
      <c r="B25" s="5">
        <v>43754</v>
      </c>
      <c r="C25" s="10">
        <f t="shared" si="0"/>
        <v>10</v>
      </c>
      <c r="D25" s="4" t="s">
        <v>45</v>
      </c>
      <c r="E25" s="4" t="s">
        <v>12</v>
      </c>
      <c r="F25" s="4" t="s">
        <v>37</v>
      </c>
      <c r="G25" s="4" t="s">
        <v>29</v>
      </c>
      <c r="H25" s="6">
        <v>1700000</v>
      </c>
      <c r="I25" s="4" t="s">
        <v>18</v>
      </c>
      <c r="J25" s="6">
        <v>1700000</v>
      </c>
      <c r="K25" s="5">
        <v>43416</v>
      </c>
    </row>
    <row r="26" spans="1:11" ht="15.75" customHeight="1" x14ac:dyDescent="0.2">
      <c r="A26" s="4" t="s">
        <v>49</v>
      </c>
      <c r="B26" s="5">
        <v>43494</v>
      </c>
      <c r="C26" s="10">
        <f t="shared" si="0"/>
        <v>1</v>
      </c>
      <c r="D26" s="4" t="s">
        <v>46</v>
      </c>
      <c r="E26" s="4" t="s">
        <v>23</v>
      </c>
      <c r="F26" s="4" t="s">
        <v>13</v>
      </c>
      <c r="G26" s="4" t="s">
        <v>17</v>
      </c>
      <c r="H26" s="6">
        <v>1600000</v>
      </c>
      <c r="I26" s="4" t="s">
        <v>35</v>
      </c>
      <c r="J26" s="7"/>
      <c r="K26" s="8"/>
    </row>
    <row r="27" spans="1:11" ht="15.75" customHeight="1" x14ac:dyDescent="0.2">
      <c r="A27" s="4" t="s">
        <v>49</v>
      </c>
      <c r="B27" s="5">
        <v>43492</v>
      </c>
      <c r="C27" s="10">
        <f t="shared" si="0"/>
        <v>1</v>
      </c>
      <c r="D27" s="4" t="s">
        <v>42</v>
      </c>
      <c r="E27" s="4" t="s">
        <v>12</v>
      </c>
      <c r="F27" s="4" t="s">
        <v>37</v>
      </c>
      <c r="G27" s="4" t="s">
        <v>29</v>
      </c>
      <c r="H27" s="6">
        <v>1500000</v>
      </c>
      <c r="I27" s="4" t="s">
        <v>35</v>
      </c>
      <c r="J27" s="7"/>
      <c r="K27" s="8"/>
    </row>
    <row r="28" spans="1:11" ht="15.75" customHeight="1" x14ac:dyDescent="0.2">
      <c r="A28" s="4" t="s">
        <v>49</v>
      </c>
      <c r="B28" s="5">
        <v>43739</v>
      </c>
      <c r="C28" s="10">
        <f t="shared" si="0"/>
        <v>10</v>
      </c>
      <c r="D28" s="4" t="s">
        <v>47</v>
      </c>
      <c r="E28" s="4" t="s">
        <v>12</v>
      </c>
      <c r="F28" s="4" t="s">
        <v>37</v>
      </c>
      <c r="G28" s="4" t="s">
        <v>17</v>
      </c>
      <c r="H28" s="6">
        <v>500000</v>
      </c>
      <c r="I28" s="4" t="s">
        <v>35</v>
      </c>
      <c r="J28" s="7"/>
      <c r="K28" s="8"/>
    </row>
    <row r="29" spans="1:11" ht="15.75" customHeight="1" x14ac:dyDescent="0.2">
      <c r="A29" s="4"/>
      <c r="B29" s="8"/>
      <c r="C29" s="8"/>
      <c r="D29" s="4"/>
      <c r="E29" s="4"/>
      <c r="F29" s="4"/>
      <c r="G29" s="4"/>
      <c r="H29" s="7"/>
      <c r="I29" s="4"/>
      <c r="J29" s="7"/>
      <c r="K29" s="8"/>
    </row>
    <row r="30" spans="1:11" ht="15.75" customHeight="1" x14ac:dyDescent="0.2">
      <c r="A30" s="4"/>
      <c r="B30" s="8"/>
      <c r="C30" s="8"/>
      <c r="D30" s="4"/>
      <c r="E30" s="4"/>
      <c r="F30" s="4"/>
      <c r="G30" s="4"/>
      <c r="H30" s="7"/>
      <c r="I30" s="4"/>
      <c r="J30" s="7"/>
      <c r="K30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Сделки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 Шагабутдинов</dc:creator>
  <cp:lastModifiedBy>Римма</cp:lastModifiedBy>
  <dcterms:created xsi:type="dcterms:W3CDTF">2020-05-23T13:21:02Z</dcterms:created>
  <dcterms:modified xsi:type="dcterms:W3CDTF">2022-05-20T06:38:17Z</dcterms:modified>
</cp:coreProperties>
</file>