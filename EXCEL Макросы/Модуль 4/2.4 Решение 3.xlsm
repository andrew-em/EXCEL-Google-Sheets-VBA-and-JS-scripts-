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ludmi\Downloads\"/>
    </mc:Choice>
  </mc:AlternateContent>
  <xr:revisionPtr revIDLastSave="0" documentId="8_{1E84351C-16A1-4A1B-AC03-335AA939475A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Белгород" sheetId="1" r:id="rId1"/>
    <sheet name="Курск" sheetId="3" r:id="rId2"/>
    <sheet name="Самара" sheetId="2" r:id="rId3"/>
    <sheet name="Саратов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" i="4" l="1"/>
  <c r="B8" i="4" s="1"/>
  <c r="B10" i="4" s="1"/>
  <c r="B11" i="4" l="1"/>
  <c r="B12" i="4" s="1"/>
  <c r="B3" i="3"/>
  <c r="B6" i="3" s="1"/>
  <c r="B8" i="3" s="1"/>
  <c r="B3" i="1"/>
  <c r="B6" i="1" s="1"/>
  <c r="B8" i="1" s="1"/>
  <c r="B5" i="2"/>
  <c r="B8" i="2" s="1"/>
  <c r="B10" i="2" s="1"/>
  <c r="B9" i="3" l="1"/>
  <c r="B10" i="3" s="1"/>
  <c r="B9" i="1"/>
  <c r="B10" i="1" s="1"/>
  <c r="B11" i="2"/>
  <c r="B12" i="2" s="1"/>
</calcChain>
</file>

<file path=xl/sharedStrings.xml><?xml version="1.0" encoding="utf-8"?>
<sst xmlns="http://schemas.openxmlformats.org/spreadsheetml/2006/main" count="39" uniqueCount="10">
  <si>
    <t>Выручка</t>
  </si>
  <si>
    <t>Себестоимость</t>
  </si>
  <si>
    <t>Валовая прибыль</t>
  </si>
  <si>
    <t>Коммерческие расходы</t>
  </si>
  <si>
    <t>Управленческие расходы</t>
  </si>
  <si>
    <t>Доход от продажи</t>
  </si>
  <si>
    <t>Выплаты по кредиту</t>
  </si>
  <si>
    <t>Прибыль до налогообложения</t>
  </si>
  <si>
    <t>Налог на прибыль</t>
  </si>
  <si>
    <t>Чистая прибыль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</si>
</sst>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" fontId="0" fillId="0" borderId="0" xfId="0" applyNumberFormat="1"/>
    <xf numFmtId="3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B10"/>
  <sheetViews>
    <sheetView tabSelected="1" workbookViewId="0">
      <selection activeCell="D10" sqref="D10"/>
    </sheetView>
  </sheetViews>
  <sheetFormatPr defaultRowHeight="15" x14ac:dyDescent="0.25"/>
  <cols>
    <col min="1" max="1" width="29.85546875" bestFit="1" customWidth="1"/>
  </cols>
  <sheetData>
    <row r="1" spans="1:2" x14ac:dyDescent="0.25">
      <c r="A1" t="s">
        <v>0</v>
      </c>
      <c r="B1" s="2">
        <v>395382</v>
      </c>
    </row>
    <row r="2" spans="1:2" x14ac:dyDescent="0.25">
      <c r="A2" t="s">
        <v>1</v>
      </c>
      <c r="B2" s="2">
        <v>193825</v>
      </c>
    </row>
    <row r="3" spans="1:2" x14ac:dyDescent="0.25">
      <c r="A3" t="s">
        <v>2</v>
      </c>
      <c r="B3" s="2">
        <f>B1-B2</f>
        <v>201557</v>
      </c>
    </row>
    <row r="4" spans="1:2" x14ac:dyDescent="0.25">
      <c r="A4" t="s">
        <v>3</v>
      </c>
      <c r="B4" s="2">
        <v>23563</v>
      </c>
    </row>
    <row r="5" spans="1:2" x14ac:dyDescent="0.25">
      <c r="A5" t="s">
        <v>4</v>
      </c>
      <c r="B5" s="2">
        <v>17345</v>
      </c>
    </row>
    <row r="6" spans="1:2" x14ac:dyDescent="0.25">
      <c r="A6" t="s">
        <v>5</v>
      </c>
      <c r="B6" s="2">
        <f>B3-B4-B5</f>
        <v>160649</v>
      </c>
    </row>
    <row r="8" spans="1:2" x14ac:dyDescent="0.25">
      <c r="A8" t="s">
        <v>7</v>
      </c>
      <c r="B8">
        <f>B6-B7</f>
        <v>160649</v>
      </c>
    </row>
    <row r="9" spans="1:2" x14ac:dyDescent="0.25">
      <c r="A9" t="s">
        <v>8</v>
      </c>
      <c r="B9">
        <f>0.2*B8</f>
        <v>32129.800000000003</v>
      </c>
    </row>
    <row r="10" spans="1:2" x14ac:dyDescent="0.25">
      <c r="A10" t="s">
        <v>9</v>
      </c>
      <c r="B10" s="1">
        <f>B8-B9</f>
        <v>128519.2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4AF62-7AEB-423C-B110-78B31B09E6FE}">
  <sheetPr codeName="Лист3"/>
  <dimension ref="A1:B10"/>
  <sheetViews>
    <sheetView workbookViewId="0">
      <selection activeCell="B10" sqref="B10"/>
    </sheetView>
  </sheetViews>
  <sheetFormatPr defaultRowHeight="15" x14ac:dyDescent="0.25"/>
  <cols>
    <col min="1" max="1" width="29.85546875" bestFit="1" customWidth="1"/>
  </cols>
  <sheetData>
    <row r="1" spans="1:2" x14ac:dyDescent="0.25">
      <c r="A1" t="s">
        <v>0</v>
      </c>
      <c r="B1">
        <v>254382</v>
      </c>
    </row>
    <row r="2" spans="1:2" x14ac:dyDescent="0.25">
      <c r="A2" t="s">
        <v>1</v>
      </c>
      <c r="B2">
        <v>153867</v>
      </c>
    </row>
    <row r="3" spans="1:2" x14ac:dyDescent="0.25">
      <c r="A3" t="s">
        <v>2</v>
      </c>
      <c r="B3">
        <f>B1-B2</f>
        <v>100515</v>
      </c>
    </row>
    <row r="4" spans="1:2" x14ac:dyDescent="0.25">
      <c r="A4" t="s">
        <v>3</v>
      </c>
      <c r="B4">
        <v>23563</v>
      </c>
    </row>
    <row r="5" spans="1:2" x14ac:dyDescent="0.25">
      <c r="A5" t="s">
        <v>4</v>
      </c>
      <c r="B5">
        <v>12535</v>
      </c>
    </row>
    <row r="6" spans="1:2" x14ac:dyDescent="0.25">
      <c r="A6" t="s">
        <v>5</v>
      </c>
      <c r="B6">
        <f>B3-B4-B5</f>
        <v>64417</v>
      </c>
    </row>
    <row r="7" spans="1:2" x14ac:dyDescent="0.25">
      <c r="A7" t="s">
        <v>6</v>
      </c>
      <c r="B7">
        <v>10453</v>
      </c>
    </row>
    <row r="8" spans="1:2" x14ac:dyDescent="0.25">
      <c r="A8" t="s">
        <v>7</v>
      </c>
      <c r="B8">
        <f>B6-B7</f>
        <v>53964</v>
      </c>
    </row>
    <row r="9" spans="1:2" x14ac:dyDescent="0.25">
      <c r="A9" t="s">
        <v>8</v>
      </c>
      <c r="B9">
        <f>0.2*B8</f>
        <v>10792.800000000001</v>
      </c>
    </row>
    <row r="10" spans="1:2" x14ac:dyDescent="0.25">
      <c r="A10" t="s">
        <v>9</v>
      </c>
      <c r="B10" s="1">
        <f>B8-B9</f>
        <v>43171.199999999997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87E50-ED14-4A0C-96D2-31BA1CD182D9}">
  <sheetPr codeName="Лист2"/>
  <dimension ref="A3:B12"/>
  <sheetViews>
    <sheetView topLeftCell="A16" workbookViewId="0">
      <selection activeCell="C32" sqref="C32"/>
    </sheetView>
  </sheetViews>
  <sheetFormatPr defaultRowHeight="15" x14ac:dyDescent="0.25"/>
  <cols>
    <col min="1" max="1" width="29.85546875" bestFit="1" customWidth="1"/>
  </cols>
  <sheetData>
    <row r="3" spans="1:2" x14ac:dyDescent="0.25">
      <c r="A3" t="s">
        <v>0</v>
      </c>
      <c r="B3">
        <v>295382</v>
      </c>
    </row>
    <row r="4" spans="1:2" x14ac:dyDescent="0.25">
      <c r="A4" t="s">
        <v>1</v>
      </c>
      <c r="B4">
        <v>193825</v>
      </c>
    </row>
    <row r="5" spans="1:2" x14ac:dyDescent="0.25">
      <c r="A5" t="s">
        <v>2</v>
      </c>
      <c r="B5">
        <f>B3-B4</f>
        <v>101557</v>
      </c>
    </row>
    <row r="6" spans="1:2" x14ac:dyDescent="0.25">
      <c r="A6" t="s">
        <v>3</v>
      </c>
      <c r="B6">
        <v>23563</v>
      </c>
    </row>
    <row r="7" spans="1:2" x14ac:dyDescent="0.25">
      <c r="A7" t="s">
        <v>4</v>
      </c>
      <c r="B7">
        <v>17345</v>
      </c>
    </row>
    <row r="8" spans="1:2" x14ac:dyDescent="0.25">
      <c r="A8" t="s">
        <v>5</v>
      </c>
      <c r="B8">
        <f>B5-B6-B7</f>
        <v>60649</v>
      </c>
    </row>
    <row r="9" spans="1:2" x14ac:dyDescent="0.25">
      <c r="A9" t="s">
        <v>6</v>
      </c>
      <c r="B9">
        <v>10394</v>
      </c>
    </row>
    <row r="10" spans="1:2" x14ac:dyDescent="0.25">
      <c r="A10" t="s">
        <v>7</v>
      </c>
      <c r="B10">
        <f>B8-B9</f>
        <v>50255</v>
      </c>
    </row>
    <row r="11" spans="1:2" x14ac:dyDescent="0.25">
      <c r="A11" t="s">
        <v>8</v>
      </c>
      <c r="B11">
        <f>0.2*B10</f>
        <v>10051</v>
      </c>
    </row>
    <row r="12" spans="1:2" x14ac:dyDescent="0.25">
      <c r="A12" t="s">
        <v>9</v>
      </c>
      <c r="B12">
        <f>B10-B11</f>
        <v>40204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335AF-7E56-4DA0-94AA-4740EC1D2F66}">
  <sheetPr codeName="Лист4"/>
  <dimension ref="A3:B12"/>
  <sheetViews>
    <sheetView workbookViewId="0">
      <selection activeCell="B11" sqref="B11"/>
    </sheetView>
  </sheetViews>
  <sheetFormatPr defaultRowHeight="15" x14ac:dyDescent="0.25"/>
  <cols>
    <col min="1" max="1" width="29.85546875" bestFit="1" customWidth="1"/>
    <col min="2" max="2" width="7" bestFit="1" customWidth="1"/>
  </cols>
  <sheetData>
    <row r="3" spans="1:2" x14ac:dyDescent="0.25">
      <c r="A3" t="s">
        <v>0</v>
      </c>
      <c r="B3">
        <v>500382</v>
      </c>
    </row>
    <row r="4" spans="1:2" x14ac:dyDescent="0.25">
      <c r="A4" t="s">
        <v>1</v>
      </c>
      <c r="B4">
        <v>193825</v>
      </c>
    </row>
    <row r="5" spans="1:2" x14ac:dyDescent="0.25">
      <c r="A5" t="s">
        <v>2</v>
      </c>
      <c r="B5">
        <f>B3-B4</f>
        <v>306557</v>
      </c>
    </row>
    <row r="6" spans="1:2" x14ac:dyDescent="0.25">
      <c r="A6" t="s">
        <v>3</v>
      </c>
      <c r="B6">
        <v>23563</v>
      </c>
    </row>
    <row r="7" spans="1:2" x14ac:dyDescent="0.25">
      <c r="A7" t="s">
        <v>4</v>
      </c>
      <c r="B7">
        <v>17345</v>
      </c>
    </row>
    <row r="8" spans="1:2" x14ac:dyDescent="0.25">
      <c r="A8" t="s">
        <v>5</v>
      </c>
      <c r="B8">
        <f>B5-B6-B7</f>
        <v>265649</v>
      </c>
    </row>
    <row r="9" spans="1:2" x14ac:dyDescent="0.25">
      <c r="A9" t="s">
        <v>6</v>
      </c>
      <c r="B9">
        <v>10394</v>
      </c>
    </row>
    <row r="10" spans="1:2" x14ac:dyDescent="0.25">
      <c r="A10" t="s">
        <v>7</v>
      </c>
      <c r="B10">
        <f>B8-B9</f>
        <v>255255</v>
      </c>
    </row>
    <row r="11" spans="1:2" x14ac:dyDescent="0.25">
      <c r="A11" t="s">
        <v>8</v>
      </c>
      <c r="B11">
        <f>0.2*B10</f>
        <v>51051</v>
      </c>
    </row>
    <row r="12" spans="1:2" x14ac:dyDescent="0.25">
      <c r="A12" t="s">
        <v>9</v>
      </c>
      <c r="B12">
        <f>B10-B11</f>
        <v>204204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Белгород</vt:lpstr>
      <vt:lpstr>Курск</vt:lpstr>
      <vt:lpstr>Самара</vt:lpstr>
      <vt:lpstr>Саратов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Ренат Шагабутдинов</dc:creator>
  <cp:lastModifiedBy>Ludmila Milaya</cp:lastModifiedBy>
  <dcterms:created xsi:type="dcterms:W3CDTF">2015-06-05T18:19:34Z</dcterms:created>
  <dcterms:modified xsi:type="dcterms:W3CDTF">2021-12-03T19:29:32Z</dcterms:modified>
</cp:coreProperties>
</file>