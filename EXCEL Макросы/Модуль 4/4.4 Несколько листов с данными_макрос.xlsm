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ЭтаКнига"/>
  <mc:AlternateContent xmlns:mc="http://schemas.openxmlformats.org/markup-compatibility/2006">
    <mc:Choice Requires="x15">
      <x15ac:absPath xmlns:x15ac="http://schemas.microsoft.com/office/spreadsheetml/2010/11/ac" url="C:\IT\SKILLBOX\EXCEL &amp; Google\Макросы\Модуль 4\"/>
    </mc:Choice>
  </mc:AlternateContent>
  <bookViews>
    <workbookView xWindow="-120" yWindow="-120" windowWidth="29040" windowHeight="15840" activeTab="2"/>
  </bookViews>
  <sheets>
    <sheet name="Белгород" sheetId="1" r:id="rId1"/>
    <sheet name="Курск" sheetId="3" r:id="rId2"/>
    <sheet name="Самара" sheetId="2" r:id="rId3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3" i="3" l="1"/>
  <c r="B6" i="3"/>
  <c r="B8" i="3"/>
  <c r="B3" i="1"/>
  <c r="B6" i="1"/>
  <c r="B8" i="1"/>
  <c r="B5" i="2"/>
  <c r="B8" i="2"/>
  <c r="B10" i="2"/>
  <c r="B9" i="3"/>
  <c r="B10" i="3"/>
  <c r="B9" i="1"/>
  <c r="B10" i="1"/>
  <c r="B11" i="2"/>
  <c r="B12" i="2"/>
</calcChain>
</file>

<file path=xl/sharedStrings.xml><?xml version="1.0" encoding="utf-8"?>
<sst xmlns="http://schemas.openxmlformats.org/spreadsheetml/2006/main" count="29" uniqueCount="12">
  <si>
    <t>Выручка</t>
  </si>
  <si>
    <t>Себестоимость</t>
  </si>
  <si>
    <t>Валовая прибыль</t>
  </si>
  <si>
    <t>Коммерческие расходы</t>
  </si>
  <si>
    <t>Управленческие расходы</t>
  </si>
  <si>
    <t>Доход от продажи</t>
  </si>
  <si>
    <t>Выплаты по кредиту</t>
  </si>
  <si>
    <t>Прибыль до налогообложения</t>
  </si>
  <si>
    <t>Налог на прибыль</t>
  </si>
  <si>
    <t>Чистая прибыль</t>
  </si>
  <si>
    <t>ЧП</t>
  </si>
  <si>
    <t>Прибыль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</si>
</sst>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" fontId="0" fillId="0" borderId="0" xfId="0" applyNumberFormat="1"/>
    <xf numFmtId="0" fontId="0" fillId="0" borderId="0" xfId="0" applyAlignment="1">
      <alignment horizontal="left" indent="1"/>
    </xf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B10"/>
  <sheetViews>
    <sheetView workbookViewId="0">
      <selection activeCell="D12" sqref="D12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395382</v>
      </c>
    </row>
    <row r="2" spans="1:2" x14ac:dyDescent="0.25">
      <c r="A2" t="s">
        <v>1</v>
      </c>
      <c r="B2">
        <v>193825</v>
      </c>
    </row>
    <row r="3" spans="1:2" x14ac:dyDescent="0.25">
      <c r="A3" t="s">
        <v>2</v>
      </c>
      <c r="B3">
        <f>B1-B2</f>
        <v>201557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17345</v>
      </c>
    </row>
    <row r="6" spans="1:2" x14ac:dyDescent="0.25">
      <c r="A6" t="s">
        <v>5</v>
      </c>
      <c r="B6">
        <f>B3-B4-B5</f>
        <v>160649</v>
      </c>
    </row>
    <row r="8" spans="1:2" x14ac:dyDescent="0.25">
      <c r="A8" t="s">
        <v>7</v>
      </c>
      <c r="B8">
        <f>B6-B7</f>
        <v>160649</v>
      </c>
    </row>
    <row r="9" spans="1:2" x14ac:dyDescent="0.25">
      <c r="A9" t="s">
        <v>8</v>
      </c>
      <c r="B9">
        <f>0.2*B8</f>
        <v>32129.800000000003</v>
      </c>
    </row>
    <row r="10" spans="1:2" x14ac:dyDescent="0.25">
      <c r="A10" s="2" t="s">
        <v>10</v>
      </c>
      <c r="B10" s="1">
        <f>B8-B9</f>
        <v>128519.2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B10"/>
  <sheetViews>
    <sheetView workbookViewId="0">
      <selection activeCell="B39" sqref="B39"/>
    </sheetView>
  </sheetViews>
  <sheetFormatPr defaultRowHeight="15" x14ac:dyDescent="0.25"/>
  <cols>
    <col min="1" max="1" width="29.85546875" bestFit="1" customWidth="1"/>
  </cols>
  <sheetData>
    <row r="1" spans="1:2" x14ac:dyDescent="0.25">
      <c r="A1" t="s">
        <v>0</v>
      </c>
      <c r="B1">
        <v>254382</v>
      </c>
    </row>
    <row r="2" spans="1:2" x14ac:dyDescent="0.25">
      <c r="A2" t="s">
        <v>1</v>
      </c>
      <c r="B2">
        <v>153867</v>
      </c>
    </row>
    <row r="3" spans="1:2" x14ac:dyDescent="0.25">
      <c r="A3" t="s">
        <v>2</v>
      </c>
      <c r="B3">
        <f>B1-B2</f>
        <v>100515</v>
      </c>
    </row>
    <row r="4" spans="1:2" x14ac:dyDescent="0.25">
      <c r="A4" t="s">
        <v>3</v>
      </c>
      <c r="B4">
        <v>23563</v>
      </c>
    </row>
    <row r="5" spans="1:2" x14ac:dyDescent="0.25">
      <c r="A5" t="s">
        <v>4</v>
      </c>
      <c r="B5">
        <v>12535</v>
      </c>
    </row>
    <row r="6" spans="1:2" x14ac:dyDescent="0.25">
      <c r="A6" t="s">
        <v>5</v>
      </c>
      <c r="B6">
        <f>B3-B4-B5</f>
        <v>64417</v>
      </c>
    </row>
    <row r="7" spans="1:2" x14ac:dyDescent="0.25">
      <c r="A7" t="s">
        <v>6</v>
      </c>
      <c r="B7">
        <v>10453</v>
      </c>
    </row>
    <row r="8" spans="1:2" x14ac:dyDescent="0.25">
      <c r="A8" t="s">
        <v>7</v>
      </c>
      <c r="B8">
        <f>B6-B7</f>
        <v>53964</v>
      </c>
    </row>
    <row r="9" spans="1:2" x14ac:dyDescent="0.25">
      <c r="A9" t="s">
        <v>8</v>
      </c>
      <c r="B9">
        <f>0.2*B8</f>
        <v>10792.800000000001</v>
      </c>
    </row>
    <row r="10" spans="1:2" x14ac:dyDescent="0.25">
      <c r="A10" s="2" t="s">
        <v>9</v>
      </c>
      <c r="B10" s="1">
        <f>B8-B9</f>
        <v>43171.199999999997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3:B12"/>
  <sheetViews>
    <sheetView tabSelected="1" workbookViewId="0">
      <selection activeCell="C15" sqref="C15"/>
    </sheetView>
  </sheetViews>
  <sheetFormatPr defaultRowHeight="15" x14ac:dyDescent="0.25"/>
  <cols>
    <col min="1" max="1" width="29.85546875" bestFit="1" customWidth="1"/>
  </cols>
  <sheetData>
    <row r="3" spans="1:2" x14ac:dyDescent="0.25">
      <c r="A3" t="s">
        <v>0</v>
      </c>
      <c r="B3">
        <v>295382</v>
      </c>
    </row>
    <row r="4" spans="1:2" x14ac:dyDescent="0.25">
      <c r="A4" t="s">
        <v>1</v>
      </c>
      <c r="B4">
        <v>193825</v>
      </c>
    </row>
    <row r="5" spans="1:2" x14ac:dyDescent="0.25">
      <c r="A5" t="s">
        <v>2</v>
      </c>
      <c r="B5">
        <f>B3-B4</f>
        <v>101557</v>
      </c>
    </row>
    <row r="6" spans="1:2" x14ac:dyDescent="0.25">
      <c r="A6" t="s">
        <v>3</v>
      </c>
      <c r="B6">
        <v>23563</v>
      </c>
    </row>
    <row r="7" spans="1:2" x14ac:dyDescent="0.25">
      <c r="A7" t="s">
        <v>4</v>
      </c>
      <c r="B7">
        <v>17345</v>
      </c>
    </row>
    <row r="8" spans="1:2" x14ac:dyDescent="0.25">
      <c r="A8" t="s">
        <v>5</v>
      </c>
      <c r="B8">
        <f>B5-B6-B7</f>
        <v>60649</v>
      </c>
    </row>
    <row r="9" spans="1:2" x14ac:dyDescent="0.25">
      <c r="A9" t="s">
        <v>6</v>
      </c>
      <c r="B9">
        <v>10394</v>
      </c>
    </row>
    <row r="10" spans="1:2" x14ac:dyDescent="0.25">
      <c r="A10" t="s">
        <v>7</v>
      </c>
      <c r="B10">
        <f>B8-B9</f>
        <v>50255</v>
      </c>
    </row>
    <row r="11" spans="1:2" x14ac:dyDescent="0.25">
      <c r="A11" t="s">
        <v>8</v>
      </c>
      <c r="B11">
        <f>0.2*B10</f>
        <v>10051</v>
      </c>
    </row>
    <row r="12" spans="1:2" x14ac:dyDescent="0.25">
      <c r="A12" s="2" t="s">
        <v>11</v>
      </c>
      <c r="B12">
        <f>B10-B11</f>
        <v>40204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Белгород</vt:lpstr>
      <vt:lpstr>Курск</vt:lpstr>
      <vt:lpstr>Самара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Ренат Шагабутдинов</dc:creator>
  <cp:lastModifiedBy>Римма</cp:lastModifiedBy>
  <dcterms:created xsi:type="dcterms:W3CDTF">2015-06-05T18:19:34Z</dcterms:created>
  <dcterms:modified xsi:type="dcterms:W3CDTF">2022-05-14T12:54:42Z</dcterms:modified>
</cp:coreProperties>
</file>