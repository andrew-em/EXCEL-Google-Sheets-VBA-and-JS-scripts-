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"/>
    </mc:Choice>
  </mc:AlternateContent>
  <bookViews>
    <workbookView xWindow="-120" yWindow="-120" windowWidth="29040" windowHeight="15840" activeTab="2"/>
  </bookViews>
  <sheets>
    <sheet name="Бондарева" sheetId="2" r:id="rId1"/>
    <sheet name="Ешевский" sheetId="3" r:id="rId2"/>
    <sheet name="Новолодский" sheetId="4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" l="1"/>
  <c r="I18" i="3"/>
  <c r="I45" i="2"/>
  <c r="D11" i="4" l="1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D2" i="3"/>
  <c r="C2" i="3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<sst xmlns="http://schemas.openxmlformats.org/spreadsheetml/2006/main" count="275" uniqueCount="97">
  <si>
    <t>Менеджер</t>
  </si>
  <si>
    <t>Дата первой встречи/звонка</t>
  </si>
  <si>
    <t>Номер недели</t>
  </si>
  <si>
    <t>Месяц</t>
  </si>
  <si>
    <t>Компания-клиент</t>
  </si>
  <si>
    <t>E-mail</t>
  </si>
  <si>
    <t>Продукт</t>
  </si>
  <si>
    <t>Канал</t>
  </si>
  <si>
    <t>Коммерческое предложение</t>
  </si>
  <si>
    <t>Статус сделки</t>
  </si>
  <si>
    <t>Факт оплаты</t>
  </si>
  <si>
    <t>Дата оплаты</t>
  </si>
  <si>
    <t>Причина отказа</t>
  </si>
  <si>
    <t>Комментарии</t>
  </si>
  <si>
    <t>Ешевский</t>
  </si>
  <si>
    <t>Бондарева</t>
  </si>
  <si>
    <t>Новолодский</t>
  </si>
  <si>
    <t>UnitedHealth Group</t>
  </si>
  <si>
    <t>jackson@unitedhealth.com</t>
  </si>
  <si>
    <t>Securian Financial Group</t>
  </si>
  <si>
    <t>clark@securian.com</t>
  </si>
  <si>
    <t>EXOR Group</t>
  </si>
  <si>
    <t>Коучинг</t>
  </si>
  <si>
    <t>moore@exor.com</t>
  </si>
  <si>
    <t>Тренинг</t>
  </si>
  <si>
    <t>Работа с постоянными</t>
  </si>
  <si>
    <t>Стратегическая сессия</t>
  </si>
  <si>
    <t>Отказ</t>
  </si>
  <si>
    <t>Нет потребности</t>
  </si>
  <si>
    <t>Нет бюджета</t>
  </si>
  <si>
    <t>DCP Midstream</t>
  </si>
  <si>
    <t>jackson@dcp.com</t>
  </si>
  <si>
    <t>Холодный звонок</t>
  </si>
  <si>
    <t>Покупают у конкурентов</t>
  </si>
  <si>
    <t>Закрыта</t>
  </si>
  <si>
    <t>Berkshire Hathaway</t>
  </si>
  <si>
    <t>smith@berkshire.com</t>
  </si>
  <si>
    <t>Библиотека</t>
  </si>
  <si>
    <t>Сайт</t>
  </si>
  <si>
    <t>КП</t>
  </si>
  <si>
    <t>rodriguez@dcp.com</t>
  </si>
  <si>
    <t>jones@unitedhealth.com</t>
  </si>
  <si>
    <t>Другой</t>
  </si>
  <si>
    <t>Выставка</t>
  </si>
  <si>
    <t>American Axle &amp; Manufacturing</t>
  </si>
  <si>
    <t>miller@american.com</t>
  </si>
  <si>
    <t>Торг/согласование</t>
  </si>
  <si>
    <t>В оплате</t>
  </si>
  <si>
    <t>Sinopec Group</t>
  </si>
  <si>
    <t>moore@sinopec.com</t>
  </si>
  <si>
    <t>Northern Trust</t>
  </si>
  <si>
    <t>Glencore</t>
  </si>
  <si>
    <t>martin@northern.com</t>
  </si>
  <si>
    <t>miller@glencore.com</t>
  </si>
  <si>
    <t>Walmart</t>
  </si>
  <si>
    <t>b2b@walmart.com</t>
  </si>
  <si>
    <t>Другое</t>
  </si>
  <si>
    <t>Cheniere Energy</t>
  </si>
  <si>
    <t>moore@cheniere.com</t>
  </si>
  <si>
    <t>Готовы пообщаться в следующем году</t>
  </si>
  <si>
    <t>Apple</t>
  </si>
  <si>
    <t>moore@apple.com</t>
  </si>
  <si>
    <t>martinez@berkshire.com</t>
  </si>
  <si>
    <t>rodriguez@glencore.com</t>
  </si>
  <si>
    <t>CVS Health</t>
  </si>
  <si>
    <t>williams@cvs.com</t>
  </si>
  <si>
    <t>martin@berkshire.com</t>
  </si>
  <si>
    <t>Wynn Resorts</t>
  </si>
  <si>
    <t>harris@wynn.com</t>
  </si>
  <si>
    <t>taylor@berkshire.com</t>
  </si>
  <si>
    <t>China National Petroleum</t>
  </si>
  <si>
    <t>davis@cnp.com</t>
  </si>
  <si>
    <t>jones@cvs.com</t>
  </si>
  <si>
    <t>Volkswagen</t>
  </si>
  <si>
    <t>clark@volkswagen.com</t>
  </si>
  <si>
    <t>Daimler</t>
  </si>
  <si>
    <t>davis@daimler.com</t>
  </si>
  <si>
    <t>wilson@sinopec.com</t>
  </si>
  <si>
    <t>Molson Coors Brewing</t>
  </si>
  <si>
    <t>johnson@molson.com</t>
  </si>
  <si>
    <t>white@cvs.com</t>
  </si>
  <si>
    <t>BP</t>
  </si>
  <si>
    <t>anderson@bp.com</t>
  </si>
  <si>
    <t>Conduent</t>
  </si>
  <si>
    <t>brown@conduent.com</t>
  </si>
  <si>
    <t>Toyota Motor</t>
  </si>
  <si>
    <t>smith@toyota.com</t>
  </si>
  <si>
    <t>Royal Dutch Shell</t>
  </si>
  <si>
    <t>smith@royal.com</t>
  </si>
  <si>
    <t>info@volkswagen.com</t>
  </si>
  <si>
    <t>Exxon Mobil</t>
  </si>
  <si>
    <t>moore@exxon.com</t>
  </si>
  <si>
    <t>smith@cheniere.com</t>
  </si>
  <si>
    <t>Envision Healthcare</t>
  </si>
  <si>
    <t>moore@envision.com</t>
  </si>
  <si>
    <t>smith@dcp.com</t>
  </si>
  <si>
    <t>Средняя сделка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</si>
</sst>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4" x14ac:knownFonts="1">
    <font>
      <sz val="10"/>
      <color rgb="FF000000"/>
      <name val="Arial"/>
    </font>
    <font>
      <b/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/>
    <xf numFmtId="164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0" xfId="0" applyNumberFormat="1" applyFont="1" applyAlignment="1"/>
    <xf numFmtId="3" fontId="3" fillId="0" borderId="0" xfId="0" applyNumberFormat="1" applyFont="1"/>
    <xf numFmtId="3" fontId="3" fillId="0" borderId="0" xfId="0" applyNumberFormat="1" applyFont="1" applyAlignment="1"/>
    <xf numFmtId="3" fontId="0" fillId="0" borderId="0" xfId="0" applyNumberFormat="1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N45"/>
  <sheetViews>
    <sheetView workbookViewId="0">
      <pane ySplit="1" topLeftCell="A35" activePane="bottomLeft" state="frozen"/>
      <selection pane="bottomLeft" activeCell="I17" sqref="I17"/>
    </sheetView>
  </sheetViews>
  <sheetFormatPr defaultColWidth="14.42578125" defaultRowHeight="15.75" customHeight="1" x14ac:dyDescent="0.2"/>
  <cols>
    <col min="1" max="1" width="10.85546875" bestFit="1" customWidth="1"/>
    <col min="2" max="2" width="28.7109375" bestFit="1" customWidth="1"/>
    <col min="3" max="3" width="14.5703125" bestFit="1" customWidth="1"/>
    <col min="4" max="4" width="7" customWidth="1"/>
    <col min="5" max="5" width="27.7109375" bestFit="1" customWidth="1"/>
    <col min="6" max="6" width="23.85546875" bestFit="1" customWidth="1"/>
    <col min="7" max="7" width="21.140625" customWidth="1"/>
    <col min="8" max="8" width="20.7109375" customWidth="1"/>
    <col min="9" max="9" width="28.7109375" bestFit="1" customWidth="1"/>
    <col min="10" max="10" width="17.28515625" bestFit="1" customWidth="1"/>
    <col min="11" max="11" width="13.42578125" bestFit="1" customWidth="1"/>
    <col min="12" max="12" width="13.140625" bestFit="1" customWidth="1"/>
    <col min="13" max="13" width="16.140625" bestFit="1" customWidth="1"/>
    <col min="14" max="14" width="13.7109375" bestFit="1" customWidth="1"/>
  </cols>
  <sheetData>
    <row r="1" spans="1:14" ht="15.75" customHeight="1" x14ac:dyDescent="0.2">
      <c r="A1" s="2" t="s">
        <v>0</v>
      </c>
      <c r="B1" s="3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</row>
    <row r="2" spans="1:14" ht="15.75" customHeight="1" x14ac:dyDescent="0.2">
      <c r="A2" t="s">
        <v>15</v>
      </c>
      <c r="B2" s="8">
        <v>43162</v>
      </c>
      <c r="C2">
        <f t="shared" ref="C2:C12" si="0">WEEKNUM(B2)</f>
        <v>9</v>
      </c>
      <c r="D2">
        <f t="shared" ref="D2:D12" si="1">MONTH(B2)</f>
        <v>3</v>
      </c>
      <c r="E2" t="s">
        <v>17</v>
      </c>
      <c r="F2" t="s">
        <v>18</v>
      </c>
      <c r="G2" s="7" t="s">
        <v>22</v>
      </c>
      <c r="H2" s="7" t="s">
        <v>25</v>
      </c>
      <c r="I2" s="9">
        <v>2180000</v>
      </c>
      <c r="J2" s="7" t="s">
        <v>27</v>
      </c>
      <c r="K2" s="10"/>
      <c r="L2" s="8"/>
      <c r="M2" s="7" t="s">
        <v>28</v>
      </c>
    </row>
    <row r="3" spans="1:14" ht="15.75" customHeight="1" x14ac:dyDescent="0.2">
      <c r="A3" t="s">
        <v>15</v>
      </c>
      <c r="B3" s="8">
        <v>43178</v>
      </c>
      <c r="C3">
        <f t="shared" si="0"/>
        <v>12</v>
      </c>
      <c r="D3">
        <f t="shared" si="1"/>
        <v>3</v>
      </c>
      <c r="E3" t="s">
        <v>35</v>
      </c>
      <c r="F3" t="s">
        <v>36</v>
      </c>
      <c r="G3" t="s">
        <v>37</v>
      </c>
      <c r="H3" s="7" t="s">
        <v>38</v>
      </c>
      <c r="I3" s="9">
        <v>2770000</v>
      </c>
      <c r="J3" s="7" t="s">
        <v>39</v>
      </c>
      <c r="K3" s="10"/>
      <c r="L3" s="8"/>
    </row>
    <row r="4" spans="1:14" ht="15.75" customHeight="1" x14ac:dyDescent="0.2">
      <c r="A4" t="s">
        <v>15</v>
      </c>
      <c r="B4" s="8">
        <v>43193</v>
      </c>
      <c r="C4">
        <f t="shared" si="0"/>
        <v>14</v>
      </c>
      <c r="D4">
        <f t="shared" si="1"/>
        <v>4</v>
      </c>
      <c r="E4" t="s">
        <v>44</v>
      </c>
      <c r="F4" t="s">
        <v>45</v>
      </c>
      <c r="G4" t="s">
        <v>26</v>
      </c>
      <c r="H4" s="7" t="s">
        <v>42</v>
      </c>
      <c r="I4" s="9">
        <v>200000</v>
      </c>
      <c r="J4" s="7" t="s">
        <v>47</v>
      </c>
      <c r="K4" s="10"/>
      <c r="L4" s="8"/>
    </row>
    <row r="5" spans="1:14" ht="15.75" customHeight="1" x14ac:dyDescent="0.2">
      <c r="A5" t="s">
        <v>15</v>
      </c>
      <c r="B5" s="8">
        <v>43210</v>
      </c>
      <c r="C5">
        <f t="shared" si="0"/>
        <v>16</v>
      </c>
      <c r="D5">
        <f t="shared" si="1"/>
        <v>4</v>
      </c>
      <c r="E5" t="s">
        <v>50</v>
      </c>
      <c r="F5" t="s">
        <v>52</v>
      </c>
      <c r="G5" t="s">
        <v>37</v>
      </c>
      <c r="H5" s="7" t="s">
        <v>38</v>
      </c>
      <c r="I5" s="9">
        <v>850000</v>
      </c>
      <c r="J5" s="7" t="s">
        <v>27</v>
      </c>
      <c r="K5" s="10"/>
      <c r="L5" s="8"/>
      <c r="M5" s="7" t="s">
        <v>29</v>
      </c>
    </row>
    <row r="6" spans="1:14" ht="15.75" customHeight="1" x14ac:dyDescent="0.2">
      <c r="A6" t="s">
        <v>15</v>
      </c>
      <c r="B6" s="8">
        <v>43220</v>
      </c>
      <c r="C6">
        <f t="shared" si="0"/>
        <v>18</v>
      </c>
      <c r="D6">
        <f t="shared" si="1"/>
        <v>4</v>
      </c>
      <c r="E6" t="s">
        <v>57</v>
      </c>
      <c r="F6" t="s">
        <v>58</v>
      </c>
      <c r="G6" t="s">
        <v>24</v>
      </c>
      <c r="H6" s="7" t="s">
        <v>43</v>
      </c>
      <c r="I6" s="9">
        <v>1520000</v>
      </c>
      <c r="J6" s="7" t="s">
        <v>46</v>
      </c>
      <c r="K6" s="10"/>
      <c r="L6" s="8"/>
    </row>
    <row r="7" spans="1:14" ht="15.75" customHeight="1" x14ac:dyDescent="0.2">
      <c r="A7" t="s">
        <v>15</v>
      </c>
      <c r="B7" s="8">
        <v>43315</v>
      </c>
      <c r="C7">
        <f t="shared" si="0"/>
        <v>31</v>
      </c>
      <c r="D7">
        <f t="shared" si="1"/>
        <v>8</v>
      </c>
      <c r="E7" t="s">
        <v>60</v>
      </c>
      <c r="F7" t="s">
        <v>61</v>
      </c>
      <c r="G7" t="s">
        <v>24</v>
      </c>
      <c r="H7" s="7" t="s">
        <v>32</v>
      </c>
      <c r="I7" s="9">
        <v>2420000</v>
      </c>
      <c r="J7" s="7" t="s">
        <v>34</v>
      </c>
      <c r="K7" s="9">
        <v>2420000</v>
      </c>
      <c r="L7" s="8">
        <v>43714</v>
      </c>
    </row>
    <row r="8" spans="1:14" ht="15.75" customHeight="1" x14ac:dyDescent="0.2">
      <c r="A8" t="s">
        <v>15</v>
      </c>
      <c r="B8" s="8">
        <v>43425</v>
      </c>
      <c r="C8">
        <f t="shared" si="0"/>
        <v>47</v>
      </c>
      <c r="D8">
        <f t="shared" si="1"/>
        <v>11</v>
      </c>
      <c r="E8" t="s">
        <v>64</v>
      </c>
      <c r="F8" t="s">
        <v>65</v>
      </c>
      <c r="G8" t="s">
        <v>22</v>
      </c>
      <c r="H8" s="7" t="s">
        <v>32</v>
      </c>
      <c r="I8" s="9">
        <v>2110000</v>
      </c>
      <c r="J8" s="7" t="s">
        <v>34</v>
      </c>
      <c r="K8" s="9">
        <v>2110000</v>
      </c>
      <c r="L8" s="11">
        <v>43817</v>
      </c>
    </row>
    <row r="9" spans="1:14" ht="15.75" customHeight="1" x14ac:dyDescent="0.2">
      <c r="A9" t="s">
        <v>15</v>
      </c>
      <c r="B9" s="8">
        <v>43490</v>
      </c>
      <c r="C9">
        <f t="shared" si="0"/>
        <v>4</v>
      </c>
      <c r="D9">
        <f t="shared" si="1"/>
        <v>1</v>
      </c>
      <c r="E9" t="s">
        <v>70</v>
      </c>
      <c r="F9" s="7" t="s">
        <v>71</v>
      </c>
      <c r="G9" t="s">
        <v>37</v>
      </c>
      <c r="H9" s="7" t="s">
        <v>38</v>
      </c>
      <c r="I9" s="9">
        <v>2840000</v>
      </c>
      <c r="J9" s="7" t="s">
        <v>46</v>
      </c>
      <c r="K9" s="10"/>
      <c r="L9" s="8"/>
    </row>
    <row r="10" spans="1:14" ht="15.75" customHeight="1" x14ac:dyDescent="0.2">
      <c r="A10" t="s">
        <v>15</v>
      </c>
      <c r="B10" s="8">
        <v>43501</v>
      </c>
      <c r="C10">
        <f t="shared" si="0"/>
        <v>6</v>
      </c>
      <c r="D10">
        <f t="shared" si="1"/>
        <v>2</v>
      </c>
      <c r="E10" t="s">
        <v>75</v>
      </c>
      <c r="F10" t="s">
        <v>76</v>
      </c>
      <c r="G10" t="s">
        <v>22</v>
      </c>
      <c r="H10" s="7" t="s">
        <v>43</v>
      </c>
      <c r="I10" s="9">
        <v>650000</v>
      </c>
      <c r="J10" s="7" t="s">
        <v>27</v>
      </c>
      <c r="K10" s="10"/>
      <c r="L10" s="8"/>
      <c r="M10" s="7" t="s">
        <v>29</v>
      </c>
    </row>
    <row r="11" spans="1:14" ht="15.75" customHeight="1" x14ac:dyDescent="0.2">
      <c r="A11" t="s">
        <v>15</v>
      </c>
      <c r="B11" s="8">
        <v>43511</v>
      </c>
      <c r="C11">
        <f t="shared" si="0"/>
        <v>7</v>
      </c>
      <c r="D11">
        <f t="shared" si="1"/>
        <v>2</v>
      </c>
      <c r="E11" t="s">
        <v>78</v>
      </c>
      <c r="F11" t="s">
        <v>79</v>
      </c>
      <c r="G11" t="s">
        <v>24</v>
      </c>
      <c r="H11" s="7" t="s">
        <v>38</v>
      </c>
      <c r="I11" s="9">
        <v>1030000</v>
      </c>
      <c r="J11" s="7" t="s">
        <v>39</v>
      </c>
      <c r="K11" s="10"/>
      <c r="L11" s="8"/>
    </row>
    <row r="12" spans="1:14" ht="15.75" customHeight="1" x14ac:dyDescent="0.2">
      <c r="A12" t="s">
        <v>15</v>
      </c>
      <c r="B12" s="8">
        <v>43512</v>
      </c>
      <c r="C12">
        <f t="shared" si="0"/>
        <v>7</v>
      </c>
      <c r="D12">
        <f t="shared" si="1"/>
        <v>2</v>
      </c>
      <c r="E12" t="s">
        <v>64</v>
      </c>
      <c r="F12" t="s">
        <v>80</v>
      </c>
      <c r="G12" t="s">
        <v>26</v>
      </c>
      <c r="H12" s="7" t="s">
        <v>38</v>
      </c>
      <c r="I12" s="9">
        <v>1890000</v>
      </c>
      <c r="J12" s="7" t="s">
        <v>47</v>
      </c>
      <c r="K12" s="10"/>
      <c r="L12" s="8"/>
    </row>
    <row r="13" spans="1:14" ht="15.75" customHeight="1" x14ac:dyDescent="0.2">
      <c r="B13" s="12"/>
      <c r="H13" s="7"/>
      <c r="I13" s="13"/>
      <c r="K13" s="13"/>
      <c r="L13" s="12"/>
    </row>
    <row r="14" spans="1:14" ht="15.75" customHeight="1" x14ac:dyDescent="0.2">
      <c r="B14" s="12"/>
      <c r="I14" s="13"/>
      <c r="K14" s="13"/>
      <c r="L14" s="12"/>
    </row>
    <row r="15" spans="1:14" ht="15.75" customHeight="1" x14ac:dyDescent="0.2">
      <c r="A15" s="7"/>
      <c r="B15" s="12"/>
      <c r="I15" s="13"/>
      <c r="K15" s="13"/>
      <c r="L15" s="12"/>
    </row>
    <row r="16" spans="1:14" ht="15.75" customHeight="1" x14ac:dyDescent="0.2">
      <c r="A16" s="7"/>
      <c r="B16" s="12"/>
      <c r="I16" s="13"/>
      <c r="K16" s="13"/>
      <c r="L16" s="12"/>
    </row>
    <row r="17" spans="1:12" ht="15.75" customHeight="1" x14ac:dyDescent="0.2">
      <c r="A17" s="7"/>
      <c r="B17" s="12"/>
      <c r="I17" s="13"/>
      <c r="K17" s="13"/>
      <c r="L17" s="12"/>
    </row>
    <row r="18" spans="1:12" ht="15.75" customHeight="1" x14ac:dyDescent="0.2">
      <c r="A18" s="7"/>
      <c r="B18" s="12"/>
      <c r="I18" s="13"/>
      <c r="K18" s="13"/>
      <c r="L18" s="12"/>
    </row>
    <row r="19" spans="1:12" ht="15.75" customHeight="1" x14ac:dyDescent="0.2">
      <c r="A19" s="7"/>
      <c r="B19" s="12"/>
      <c r="I19" s="13"/>
      <c r="K19" s="13"/>
      <c r="L19" s="12"/>
    </row>
    <row r="20" spans="1:12" ht="15.75" customHeight="1" x14ac:dyDescent="0.2">
      <c r="A20" s="7"/>
      <c r="B20" s="12"/>
      <c r="I20" s="13"/>
      <c r="K20" s="13"/>
      <c r="L20" s="12"/>
    </row>
    <row r="21" spans="1:12" ht="15.75" customHeight="1" x14ac:dyDescent="0.2">
      <c r="A21" s="7"/>
      <c r="B21" s="12"/>
      <c r="I21" s="13"/>
      <c r="K21" s="13"/>
      <c r="L21" s="12"/>
    </row>
    <row r="22" spans="1:12" ht="15.75" customHeight="1" x14ac:dyDescent="0.2">
      <c r="A22" s="7"/>
      <c r="B22" s="12"/>
      <c r="I22" s="14"/>
      <c r="K22" s="13"/>
      <c r="L22" s="12"/>
    </row>
    <row r="23" spans="1:12" ht="15.75" customHeight="1" x14ac:dyDescent="0.2">
      <c r="A23" s="7"/>
      <c r="B23" s="12"/>
      <c r="I23" s="14"/>
      <c r="K23" s="13"/>
      <c r="L23" s="12"/>
    </row>
    <row r="24" spans="1:12" ht="15.75" customHeight="1" x14ac:dyDescent="0.2">
      <c r="A24" s="7"/>
      <c r="B24" s="12"/>
      <c r="I24" s="14"/>
      <c r="K24" s="13"/>
      <c r="L24" s="12"/>
    </row>
    <row r="25" spans="1:12" ht="15.75" customHeight="1" x14ac:dyDescent="0.2">
      <c r="A25" s="7"/>
      <c r="B25" s="12"/>
      <c r="I25" s="14"/>
      <c r="K25" s="13"/>
      <c r="L25" s="12"/>
    </row>
    <row r="26" spans="1:12" ht="15.75" customHeight="1" x14ac:dyDescent="0.2">
      <c r="A26" s="7"/>
      <c r="B26" s="12"/>
      <c r="I26" s="14"/>
      <c r="K26" s="13"/>
      <c r="L26" s="12"/>
    </row>
    <row r="27" spans="1:12" ht="15.75" customHeight="1" x14ac:dyDescent="0.2">
      <c r="A27" s="7"/>
      <c r="B27" s="12"/>
      <c r="I27" s="14"/>
      <c r="K27" s="13"/>
      <c r="L27" s="12"/>
    </row>
    <row r="28" spans="1:12" ht="15.75" customHeight="1" x14ac:dyDescent="0.2">
      <c r="A28" s="7"/>
      <c r="B28" s="12"/>
      <c r="I28" s="14"/>
      <c r="K28" s="13"/>
      <c r="L28" s="12"/>
    </row>
    <row r="29" spans="1:12" ht="15.75" customHeight="1" x14ac:dyDescent="0.2">
      <c r="A29" s="7"/>
      <c r="B29" s="12"/>
      <c r="I29" s="14"/>
      <c r="K29" s="13"/>
      <c r="L29" s="12"/>
    </row>
    <row r="30" spans="1:12" ht="15.75" customHeight="1" x14ac:dyDescent="0.2">
      <c r="A30" s="7"/>
      <c r="B30" s="12"/>
      <c r="I30" s="14"/>
      <c r="K30" s="13"/>
      <c r="L30" s="12"/>
    </row>
    <row r="31" spans="1:12" ht="15.75" customHeight="1" x14ac:dyDescent="0.2">
      <c r="A31" s="7"/>
      <c r="B31" s="12"/>
      <c r="K31" s="13"/>
      <c r="L31" s="12"/>
    </row>
    <row r="32" spans="1:12" ht="15.75" customHeight="1" x14ac:dyDescent="0.2">
      <c r="A32" s="7"/>
      <c r="B32" s="12"/>
      <c r="K32" s="13"/>
      <c r="L32" s="12"/>
    </row>
    <row r="33" spans="1:12" ht="15.75" customHeight="1" x14ac:dyDescent="0.2">
      <c r="A33" s="7"/>
      <c r="B33" s="12"/>
      <c r="K33" s="13"/>
      <c r="L33" s="12"/>
    </row>
    <row r="34" spans="1:12" ht="15.75" customHeight="1" x14ac:dyDescent="0.2">
      <c r="A34" s="7"/>
      <c r="B34" s="12"/>
      <c r="K34" s="13"/>
      <c r="L34" s="12"/>
    </row>
    <row r="35" spans="1:12" ht="15.75" customHeight="1" x14ac:dyDescent="0.2">
      <c r="A35" s="7"/>
      <c r="B35" s="12"/>
      <c r="K35" s="13"/>
      <c r="L35" s="12"/>
    </row>
    <row r="36" spans="1:12" ht="15.75" customHeight="1" x14ac:dyDescent="0.2">
      <c r="A36" s="7"/>
      <c r="B36" s="12"/>
      <c r="K36" s="13"/>
      <c r="L36" s="12"/>
    </row>
    <row r="37" spans="1:12" ht="15.75" customHeight="1" x14ac:dyDescent="0.2">
      <c r="A37" s="7"/>
      <c r="B37" s="12"/>
      <c r="K37" s="13"/>
      <c r="L37" s="12"/>
    </row>
    <row r="38" spans="1:12" ht="15.75" customHeight="1" x14ac:dyDescent="0.2">
      <c r="A38" s="7"/>
      <c r="B38" s="12"/>
      <c r="K38" s="13"/>
      <c r="L38" s="12"/>
    </row>
    <row r="39" spans="1:12" ht="15.75" customHeight="1" x14ac:dyDescent="0.2">
      <c r="A39" s="7"/>
      <c r="B39" s="12"/>
      <c r="K39" s="13"/>
      <c r="L39" s="12"/>
    </row>
    <row r="40" spans="1:12" ht="12.75" x14ac:dyDescent="0.2">
      <c r="A40" s="7"/>
      <c r="B40" s="12"/>
      <c r="K40" s="13"/>
      <c r="L40" s="12"/>
    </row>
    <row r="41" spans="1:12" ht="12.75" x14ac:dyDescent="0.2">
      <c r="A41" s="7"/>
      <c r="B41" s="12"/>
      <c r="K41" s="13"/>
      <c r="L41" s="12"/>
    </row>
    <row r="42" spans="1:12" ht="12.75" x14ac:dyDescent="0.2">
      <c r="A42" s="7"/>
      <c r="B42" s="12"/>
      <c r="K42" s="13"/>
      <c r="L42" s="12"/>
    </row>
    <row r="43" spans="1:12" ht="12.75" x14ac:dyDescent="0.2">
      <c r="A43" s="7"/>
      <c r="B43" s="12"/>
      <c r="K43" s="13"/>
      <c r="L43" s="12"/>
    </row>
    <row r="44" spans="1:12" ht="12.75" x14ac:dyDescent="0.2">
      <c r="A44" s="7"/>
      <c r="B44" s="12"/>
      <c r="K44" s="13"/>
      <c r="L44" s="12"/>
    </row>
    <row r="45" spans="1:12" ht="15.75" customHeight="1" x14ac:dyDescent="0.2">
      <c r="H45" t="s">
        <v>96</v>
      </c>
      <c r="I45" s="15">
        <f>AVERAGE(I2:I44)</f>
        <v>1678181.8181818181</v>
      </c>
    </row>
  </sheetData>
  <dataValidations disablePrompts="1" count="4">
    <dataValidation type="decimal" operator="greaterThan" allowBlank="1" showDropDown="1" showErrorMessage="1" sqref="I2:I12">
      <formula1>0</formula1>
    </dataValidation>
    <dataValidation type="custom" allowBlank="1" showDropDown="1" sqref="L2:L44">
      <formula1>OR(NOT(ISERROR(DATEVALUE(L2))), AND(ISNUMBER(L2), LEFT(CELL("format", L2))="D"))</formula1>
    </dataValidation>
    <dataValidation type="list" allowBlank="1" showErrorMessage="1" sqref="H2:H12">
      <formula1>#REF!</formula1>
    </dataValidation>
    <dataValidation type="list" allowBlank="1" showInputMessage="1" showErrorMessage="1" prompt="Нужно выбрать продукт из перечня" sqref="G2:G12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A1:N18"/>
  <sheetViews>
    <sheetView workbookViewId="0">
      <selection activeCell="I12" sqref="I12"/>
    </sheetView>
  </sheetViews>
  <sheetFormatPr defaultColWidth="14.42578125" defaultRowHeight="15.75" customHeight="1" x14ac:dyDescent="0.2"/>
  <cols>
    <col min="1" max="1" width="10.85546875" bestFit="1" customWidth="1"/>
    <col min="2" max="2" width="28.7109375" bestFit="1" customWidth="1"/>
    <col min="3" max="3" width="14.5703125" bestFit="1" customWidth="1"/>
    <col min="4" max="4" width="7" bestFit="1" customWidth="1"/>
    <col min="5" max="5" width="17.85546875" bestFit="1" customWidth="1"/>
    <col min="6" max="6" width="22.140625" bestFit="1" customWidth="1"/>
    <col min="7" max="7" width="21.140625" bestFit="1" customWidth="1"/>
    <col min="8" max="8" width="20.7109375" bestFit="1" customWidth="1"/>
    <col min="9" max="9" width="28.7109375" bestFit="1" customWidth="1"/>
    <col min="10" max="10" width="17.28515625" bestFit="1" customWidth="1"/>
    <col min="11" max="11" width="13.42578125" bestFit="1" customWidth="1"/>
    <col min="12" max="12" width="13.140625" bestFit="1" customWidth="1"/>
    <col min="13" max="13" width="22.28515625" bestFit="1" customWidth="1"/>
    <col min="14" max="14" width="36" bestFit="1" customWidth="1"/>
  </cols>
  <sheetData>
    <row r="1" spans="1:14" ht="15.75" customHeight="1" x14ac:dyDescent="0.2">
      <c r="A1" s="2" t="s">
        <v>0</v>
      </c>
      <c r="B1" s="3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</row>
    <row r="2" spans="1:14" ht="15.75" customHeight="1" x14ac:dyDescent="0.2">
      <c r="A2" t="s">
        <v>14</v>
      </c>
      <c r="B2" s="8">
        <v>43128</v>
      </c>
      <c r="C2">
        <f t="shared" ref="C2:C17" si="0">WEEKNUM(B2)</f>
        <v>5</v>
      </c>
      <c r="D2">
        <f t="shared" ref="D2:D17" si="1">MONTH(B2)</f>
        <v>1</v>
      </c>
      <c r="E2" t="s">
        <v>21</v>
      </c>
      <c r="F2" t="s">
        <v>23</v>
      </c>
      <c r="G2" t="s">
        <v>26</v>
      </c>
      <c r="H2" s="7" t="s">
        <v>25</v>
      </c>
      <c r="I2" s="9">
        <v>1770000</v>
      </c>
      <c r="J2" s="7" t="s">
        <v>27</v>
      </c>
      <c r="K2" s="10"/>
      <c r="L2" s="8"/>
      <c r="M2" s="7" t="s">
        <v>33</v>
      </c>
    </row>
    <row r="3" spans="1:14" ht="15.75" customHeight="1" x14ac:dyDescent="0.2">
      <c r="A3" t="s">
        <v>14</v>
      </c>
      <c r="B3" s="8">
        <v>43159</v>
      </c>
      <c r="C3">
        <f t="shared" si="0"/>
        <v>9</v>
      </c>
      <c r="D3">
        <f t="shared" si="1"/>
        <v>2</v>
      </c>
      <c r="E3" t="s">
        <v>30</v>
      </c>
      <c r="F3" t="s">
        <v>40</v>
      </c>
      <c r="G3" t="s">
        <v>37</v>
      </c>
      <c r="H3" s="7" t="s">
        <v>43</v>
      </c>
      <c r="I3" s="9">
        <v>2000000</v>
      </c>
      <c r="J3" s="7" t="s">
        <v>46</v>
      </c>
      <c r="K3" s="10"/>
      <c r="L3" s="8"/>
    </row>
    <row r="4" spans="1:14" ht="15.75" customHeight="1" x14ac:dyDescent="0.2">
      <c r="A4" t="s">
        <v>14</v>
      </c>
      <c r="B4" s="8">
        <v>43222</v>
      </c>
      <c r="C4">
        <f t="shared" si="0"/>
        <v>18</v>
      </c>
      <c r="D4">
        <f t="shared" si="1"/>
        <v>5</v>
      </c>
      <c r="E4" t="s">
        <v>51</v>
      </c>
      <c r="F4" t="s">
        <v>53</v>
      </c>
      <c r="G4" t="s">
        <v>24</v>
      </c>
      <c r="H4" s="7" t="s">
        <v>42</v>
      </c>
      <c r="I4" s="9">
        <v>1270000</v>
      </c>
      <c r="J4" s="7" t="s">
        <v>27</v>
      </c>
      <c r="K4" s="10"/>
      <c r="L4" s="8"/>
      <c r="M4" s="7" t="s">
        <v>56</v>
      </c>
      <c r="N4" s="7" t="s">
        <v>59</v>
      </c>
    </row>
    <row r="5" spans="1:14" ht="15.75" customHeight="1" x14ac:dyDescent="0.2">
      <c r="A5" t="s">
        <v>14</v>
      </c>
      <c r="B5" s="8">
        <v>43254</v>
      </c>
      <c r="C5">
        <f t="shared" si="0"/>
        <v>23</v>
      </c>
      <c r="D5">
        <f t="shared" si="1"/>
        <v>6</v>
      </c>
      <c r="E5" t="s">
        <v>35</v>
      </c>
      <c r="F5" t="s">
        <v>62</v>
      </c>
      <c r="G5" t="s">
        <v>37</v>
      </c>
      <c r="H5" s="7" t="s">
        <v>38</v>
      </c>
      <c r="I5" s="9">
        <v>540000</v>
      </c>
      <c r="J5" s="7" t="s">
        <v>46</v>
      </c>
      <c r="K5" s="10"/>
      <c r="L5" s="8"/>
    </row>
    <row r="6" spans="1:14" ht="15.75" customHeight="1" x14ac:dyDescent="0.2">
      <c r="A6" t="s">
        <v>14</v>
      </c>
      <c r="B6" s="8">
        <v>43284</v>
      </c>
      <c r="C6">
        <f t="shared" si="0"/>
        <v>27</v>
      </c>
      <c r="D6">
        <f t="shared" si="1"/>
        <v>7</v>
      </c>
      <c r="E6" t="s">
        <v>67</v>
      </c>
      <c r="F6" t="s">
        <v>68</v>
      </c>
      <c r="G6" t="s">
        <v>37</v>
      </c>
      <c r="H6" s="7" t="s">
        <v>38</v>
      </c>
      <c r="I6" s="9">
        <v>2100000</v>
      </c>
      <c r="J6" s="7" t="s">
        <v>27</v>
      </c>
      <c r="K6" s="10"/>
      <c r="L6" s="8"/>
      <c r="M6" s="7" t="s">
        <v>29</v>
      </c>
    </row>
    <row r="7" spans="1:14" ht="15.75" customHeight="1" x14ac:dyDescent="0.2">
      <c r="A7" t="s">
        <v>14</v>
      </c>
      <c r="B7" s="8">
        <v>43303</v>
      </c>
      <c r="C7">
        <f t="shared" si="0"/>
        <v>30</v>
      </c>
      <c r="D7">
        <f t="shared" si="1"/>
        <v>7</v>
      </c>
      <c r="E7" t="s">
        <v>64</v>
      </c>
      <c r="F7" t="s">
        <v>72</v>
      </c>
      <c r="G7" t="s">
        <v>37</v>
      </c>
      <c r="H7" s="7" t="s">
        <v>25</v>
      </c>
      <c r="I7" s="9">
        <v>2040000</v>
      </c>
      <c r="J7" s="7" t="s">
        <v>47</v>
      </c>
      <c r="K7" s="10"/>
      <c r="L7" s="8"/>
    </row>
    <row r="8" spans="1:14" ht="15.75" customHeight="1" x14ac:dyDescent="0.2">
      <c r="A8" t="s">
        <v>14</v>
      </c>
      <c r="B8" s="8">
        <v>43312</v>
      </c>
      <c r="C8">
        <f t="shared" si="0"/>
        <v>31</v>
      </c>
      <c r="D8">
        <f t="shared" si="1"/>
        <v>7</v>
      </c>
      <c r="E8" t="s">
        <v>48</v>
      </c>
      <c r="F8" t="s">
        <v>77</v>
      </c>
      <c r="G8" t="s">
        <v>22</v>
      </c>
      <c r="H8" s="7" t="s">
        <v>43</v>
      </c>
      <c r="I8" s="9">
        <v>1330000</v>
      </c>
      <c r="J8" s="7" t="s">
        <v>46</v>
      </c>
      <c r="K8" s="10"/>
      <c r="L8" s="8"/>
    </row>
    <row r="9" spans="1:14" ht="15.75" customHeight="1" x14ac:dyDescent="0.2">
      <c r="A9" t="s">
        <v>14</v>
      </c>
      <c r="B9" s="8">
        <v>43334</v>
      </c>
      <c r="C9">
        <f t="shared" si="0"/>
        <v>34</v>
      </c>
      <c r="D9">
        <f t="shared" si="1"/>
        <v>8</v>
      </c>
      <c r="E9" t="s">
        <v>81</v>
      </c>
      <c r="F9" t="s">
        <v>82</v>
      </c>
      <c r="G9" t="s">
        <v>26</v>
      </c>
      <c r="H9" s="7" t="s">
        <v>42</v>
      </c>
      <c r="I9" s="9">
        <v>1100000</v>
      </c>
      <c r="J9" s="7" t="s">
        <v>46</v>
      </c>
      <c r="K9" s="10"/>
      <c r="L9" s="8"/>
    </row>
    <row r="10" spans="1:14" ht="15.75" customHeight="1" x14ac:dyDescent="0.2">
      <c r="A10" t="s">
        <v>14</v>
      </c>
      <c r="B10" s="8">
        <v>43347</v>
      </c>
      <c r="C10">
        <f t="shared" si="0"/>
        <v>36</v>
      </c>
      <c r="D10">
        <f t="shared" si="1"/>
        <v>9</v>
      </c>
      <c r="E10" t="s">
        <v>83</v>
      </c>
      <c r="F10" t="s">
        <v>84</v>
      </c>
      <c r="G10" t="s">
        <v>24</v>
      </c>
      <c r="H10" s="7" t="s">
        <v>38</v>
      </c>
      <c r="I10" s="9">
        <v>1060000</v>
      </c>
      <c r="J10" s="7" t="s">
        <v>46</v>
      </c>
      <c r="K10" s="10"/>
      <c r="L10" s="8"/>
    </row>
    <row r="11" spans="1:14" ht="15.75" customHeight="1" x14ac:dyDescent="0.2">
      <c r="A11" t="s">
        <v>14</v>
      </c>
      <c r="B11" s="8">
        <v>43385</v>
      </c>
      <c r="C11">
        <f t="shared" si="0"/>
        <v>41</v>
      </c>
      <c r="D11">
        <f t="shared" si="1"/>
        <v>10</v>
      </c>
      <c r="E11" t="s">
        <v>85</v>
      </c>
      <c r="F11" t="s">
        <v>86</v>
      </c>
      <c r="G11" t="s">
        <v>26</v>
      </c>
      <c r="H11" s="7" t="s">
        <v>42</v>
      </c>
      <c r="I11" s="9">
        <v>990000</v>
      </c>
      <c r="J11" s="7" t="s">
        <v>34</v>
      </c>
      <c r="K11" s="9">
        <v>990000</v>
      </c>
      <c r="L11" s="8">
        <v>43767</v>
      </c>
    </row>
    <row r="12" spans="1:14" ht="15.75" customHeight="1" x14ac:dyDescent="0.2">
      <c r="A12" t="s">
        <v>14</v>
      </c>
      <c r="B12" s="8">
        <v>43400</v>
      </c>
      <c r="C12">
        <f t="shared" si="0"/>
        <v>43</v>
      </c>
      <c r="D12">
        <f t="shared" si="1"/>
        <v>10</v>
      </c>
      <c r="E12" t="s">
        <v>87</v>
      </c>
      <c r="F12" t="s">
        <v>88</v>
      </c>
      <c r="G12" t="s">
        <v>22</v>
      </c>
      <c r="H12" s="7" t="s">
        <v>25</v>
      </c>
      <c r="I12" s="9">
        <v>1840000</v>
      </c>
      <c r="J12" s="7" t="s">
        <v>47</v>
      </c>
      <c r="K12" s="10"/>
      <c r="L12" s="8"/>
    </row>
    <row r="13" spans="1:14" ht="15.75" customHeight="1" x14ac:dyDescent="0.2">
      <c r="A13" t="s">
        <v>14</v>
      </c>
      <c r="B13" s="8">
        <v>43430</v>
      </c>
      <c r="C13">
        <f t="shared" si="0"/>
        <v>48</v>
      </c>
      <c r="D13">
        <f t="shared" si="1"/>
        <v>11</v>
      </c>
      <c r="E13" t="s">
        <v>73</v>
      </c>
      <c r="F13" t="s">
        <v>89</v>
      </c>
      <c r="G13" t="s">
        <v>24</v>
      </c>
      <c r="H13" s="7" t="s">
        <v>25</v>
      </c>
      <c r="I13" s="9">
        <v>2510000</v>
      </c>
      <c r="J13" s="7" t="s">
        <v>46</v>
      </c>
      <c r="K13" s="10"/>
      <c r="L13" s="8"/>
    </row>
    <row r="14" spans="1:14" ht="15.75" customHeight="1" x14ac:dyDescent="0.2">
      <c r="A14" t="s">
        <v>14</v>
      </c>
      <c r="B14" s="8">
        <v>43442</v>
      </c>
      <c r="C14">
        <f t="shared" si="0"/>
        <v>49</v>
      </c>
      <c r="D14">
        <f t="shared" si="1"/>
        <v>12</v>
      </c>
      <c r="E14" t="s">
        <v>90</v>
      </c>
      <c r="F14" t="s">
        <v>91</v>
      </c>
      <c r="G14" t="s">
        <v>26</v>
      </c>
      <c r="H14" s="7" t="s">
        <v>38</v>
      </c>
      <c r="I14" s="9">
        <v>2600000</v>
      </c>
      <c r="J14" s="7" t="s">
        <v>34</v>
      </c>
      <c r="K14" s="9">
        <v>2340000</v>
      </c>
      <c r="L14" s="8">
        <v>43102</v>
      </c>
    </row>
    <row r="15" spans="1:14" ht="15.75" customHeight="1" x14ac:dyDescent="0.2">
      <c r="A15" t="s">
        <v>14</v>
      </c>
      <c r="B15" s="8">
        <v>43460</v>
      </c>
      <c r="C15">
        <f t="shared" si="0"/>
        <v>52</v>
      </c>
      <c r="D15">
        <f t="shared" si="1"/>
        <v>12</v>
      </c>
      <c r="E15" t="s">
        <v>57</v>
      </c>
      <c r="F15" t="s">
        <v>92</v>
      </c>
      <c r="G15" t="s">
        <v>22</v>
      </c>
      <c r="H15" s="7" t="s">
        <v>32</v>
      </c>
      <c r="I15" s="9">
        <v>2200000</v>
      </c>
      <c r="J15" s="7" t="s">
        <v>47</v>
      </c>
      <c r="K15" s="10"/>
      <c r="L15" s="8"/>
    </row>
    <row r="16" spans="1:14" ht="15.75" customHeight="1" x14ac:dyDescent="0.2">
      <c r="A16" t="s">
        <v>14</v>
      </c>
      <c r="B16" s="8">
        <v>43465</v>
      </c>
      <c r="C16">
        <f t="shared" si="0"/>
        <v>53</v>
      </c>
      <c r="D16">
        <f t="shared" si="1"/>
        <v>12</v>
      </c>
      <c r="E16" t="s">
        <v>93</v>
      </c>
      <c r="F16" t="s">
        <v>94</v>
      </c>
      <c r="G16" t="s">
        <v>22</v>
      </c>
      <c r="H16" s="7" t="s">
        <v>32</v>
      </c>
      <c r="I16" s="9">
        <v>880000</v>
      </c>
      <c r="J16" s="7" t="s">
        <v>34</v>
      </c>
      <c r="K16" s="9">
        <v>880000</v>
      </c>
      <c r="L16" s="8">
        <v>43110</v>
      </c>
    </row>
    <row r="17" spans="1:12" ht="15.75" customHeight="1" x14ac:dyDescent="0.2">
      <c r="A17" t="s">
        <v>14</v>
      </c>
      <c r="B17" s="8">
        <v>43516</v>
      </c>
      <c r="C17">
        <f t="shared" si="0"/>
        <v>8</v>
      </c>
      <c r="D17">
        <f t="shared" si="1"/>
        <v>2</v>
      </c>
      <c r="E17" t="s">
        <v>30</v>
      </c>
      <c r="F17" t="s">
        <v>95</v>
      </c>
      <c r="G17" t="s">
        <v>22</v>
      </c>
      <c r="H17" s="7" t="s">
        <v>42</v>
      </c>
      <c r="I17" s="9">
        <v>630000</v>
      </c>
      <c r="J17" s="7" t="s">
        <v>39</v>
      </c>
      <c r="K17" s="10"/>
      <c r="L17" s="8"/>
    </row>
    <row r="18" spans="1:12" ht="15.75" customHeight="1" x14ac:dyDescent="0.2">
      <c r="H18" t="s">
        <v>96</v>
      </c>
      <c r="I18" s="15">
        <f>AVERAGE(I2:I17)</f>
        <v>1553750</v>
      </c>
    </row>
  </sheetData>
  <dataValidations count="4">
    <dataValidation type="decimal" operator="greaterThan" allowBlank="1" showDropDown="1" showErrorMessage="1" sqref="I2:I17">
      <formula1>0</formula1>
    </dataValidation>
    <dataValidation type="custom" allowBlank="1" showDropDown="1" sqref="L2:L17">
      <formula1>OR(NOT(ISERROR(DATEVALUE(L2))), AND(ISNUMBER(L2), LEFT(CELL("format", L2))="D"))</formula1>
    </dataValidation>
    <dataValidation type="list" allowBlank="1" showErrorMessage="1" sqref="H2:H17">
      <formula1>#REF!</formula1>
    </dataValidation>
    <dataValidation type="list" allowBlank="1" showInputMessage="1" showErrorMessage="1" prompt="Нужно выбрать продукт из перечня" sqref="G2:G17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N12"/>
  <sheetViews>
    <sheetView tabSelected="1" workbookViewId="0">
      <selection activeCell="H11" sqref="H11"/>
    </sheetView>
  </sheetViews>
  <sheetFormatPr defaultColWidth="14.42578125" defaultRowHeight="15.75" customHeight="1" x14ac:dyDescent="0.2"/>
  <cols>
    <col min="2" max="2" width="28.7109375" bestFit="1" customWidth="1"/>
    <col min="5" max="5" width="22.42578125" bestFit="1" customWidth="1"/>
    <col min="6" max="6" width="22" bestFit="1" customWidth="1"/>
    <col min="7" max="7" width="21.140625" bestFit="1" customWidth="1"/>
    <col min="8" max="8" width="20.7109375" bestFit="1" customWidth="1"/>
    <col min="9" max="9" width="28.7109375" bestFit="1" customWidth="1"/>
    <col min="10" max="10" width="17.28515625" bestFit="1" customWidth="1"/>
  </cols>
  <sheetData>
    <row r="1" spans="1:14" ht="15.75" customHeight="1" x14ac:dyDescent="0.2">
      <c r="A1" s="2" t="s">
        <v>0</v>
      </c>
      <c r="B1" s="3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</row>
    <row r="2" spans="1:14" ht="15.75" customHeight="1" x14ac:dyDescent="0.2">
      <c r="A2" t="s">
        <v>16</v>
      </c>
      <c r="B2" s="8">
        <v>43111</v>
      </c>
      <c r="C2">
        <f t="shared" ref="C2:C11" si="0">WEEKNUM(B2)</f>
        <v>2</v>
      </c>
      <c r="D2">
        <f t="shared" ref="D2:D11" si="1">MONTH(B2)</f>
        <v>1</v>
      </c>
      <c r="E2" t="s">
        <v>19</v>
      </c>
      <c r="F2" t="s">
        <v>20</v>
      </c>
      <c r="G2" t="s">
        <v>24</v>
      </c>
      <c r="H2" s="7" t="s">
        <v>25</v>
      </c>
      <c r="I2" s="9">
        <v>1980000</v>
      </c>
      <c r="J2" s="7" t="s">
        <v>27</v>
      </c>
      <c r="K2" s="10"/>
      <c r="L2" s="8"/>
      <c r="M2" s="7" t="s">
        <v>29</v>
      </c>
    </row>
    <row r="3" spans="1:14" ht="15.75" customHeight="1" x14ac:dyDescent="0.2">
      <c r="A3" t="s">
        <v>16</v>
      </c>
      <c r="B3" s="8">
        <v>43206</v>
      </c>
      <c r="C3">
        <f t="shared" si="0"/>
        <v>16</v>
      </c>
      <c r="D3">
        <f t="shared" si="1"/>
        <v>4</v>
      </c>
      <c r="E3" t="s">
        <v>30</v>
      </c>
      <c r="F3" t="s">
        <v>31</v>
      </c>
      <c r="G3" t="s">
        <v>26</v>
      </c>
      <c r="H3" s="7" t="s">
        <v>32</v>
      </c>
      <c r="I3" s="9">
        <v>2150000</v>
      </c>
      <c r="J3" s="7" t="s">
        <v>34</v>
      </c>
      <c r="K3" s="9">
        <v>2150000</v>
      </c>
      <c r="L3" s="8">
        <v>43665</v>
      </c>
    </row>
    <row r="4" spans="1:14" ht="15.75" customHeight="1" x14ac:dyDescent="0.2">
      <c r="A4" t="s">
        <v>16</v>
      </c>
      <c r="B4" s="8">
        <v>43239</v>
      </c>
      <c r="C4">
        <f t="shared" si="0"/>
        <v>20</v>
      </c>
      <c r="D4">
        <f t="shared" si="1"/>
        <v>5</v>
      </c>
      <c r="E4" t="s">
        <v>17</v>
      </c>
      <c r="F4" t="s">
        <v>41</v>
      </c>
      <c r="G4" t="s">
        <v>26</v>
      </c>
      <c r="H4" s="7" t="s">
        <v>42</v>
      </c>
      <c r="I4" s="9">
        <v>2300000</v>
      </c>
      <c r="J4" s="7" t="s">
        <v>39</v>
      </c>
      <c r="K4" s="10"/>
      <c r="L4" s="8"/>
    </row>
    <row r="5" spans="1:14" ht="15.75" customHeight="1" x14ac:dyDescent="0.2">
      <c r="A5" t="s">
        <v>16</v>
      </c>
      <c r="B5" s="8">
        <v>43247</v>
      </c>
      <c r="C5">
        <f t="shared" si="0"/>
        <v>22</v>
      </c>
      <c r="D5">
        <f t="shared" si="1"/>
        <v>5</v>
      </c>
      <c r="E5" t="s">
        <v>48</v>
      </c>
      <c r="F5" t="s">
        <v>49</v>
      </c>
      <c r="G5" t="s">
        <v>22</v>
      </c>
      <c r="H5" s="7" t="s">
        <v>32</v>
      </c>
      <c r="I5" s="9">
        <v>2280000</v>
      </c>
      <c r="J5" s="7" t="s">
        <v>46</v>
      </c>
      <c r="K5" s="10"/>
      <c r="L5" s="8"/>
    </row>
    <row r="6" spans="1:14" ht="15.75" customHeight="1" x14ac:dyDescent="0.2">
      <c r="A6" t="s">
        <v>16</v>
      </c>
      <c r="B6" s="8">
        <v>43250</v>
      </c>
      <c r="C6">
        <f t="shared" si="0"/>
        <v>22</v>
      </c>
      <c r="D6">
        <f t="shared" si="1"/>
        <v>5</v>
      </c>
      <c r="E6" t="s">
        <v>54</v>
      </c>
      <c r="F6" t="s">
        <v>55</v>
      </c>
      <c r="G6" t="s">
        <v>24</v>
      </c>
      <c r="H6" s="7" t="s">
        <v>38</v>
      </c>
      <c r="I6" s="9">
        <v>1480000</v>
      </c>
      <c r="J6" s="7" t="s">
        <v>34</v>
      </c>
      <c r="K6" s="9">
        <v>1480000</v>
      </c>
      <c r="L6" s="8">
        <v>43646</v>
      </c>
    </row>
    <row r="7" spans="1:14" ht="15.75" customHeight="1" x14ac:dyDescent="0.2">
      <c r="A7" t="s">
        <v>16</v>
      </c>
      <c r="B7" s="8">
        <v>43328</v>
      </c>
      <c r="C7">
        <f t="shared" si="0"/>
        <v>33</v>
      </c>
      <c r="D7">
        <f t="shared" si="1"/>
        <v>8</v>
      </c>
      <c r="E7" t="s">
        <v>51</v>
      </c>
      <c r="F7" t="s">
        <v>63</v>
      </c>
      <c r="G7" t="s">
        <v>24</v>
      </c>
      <c r="H7" s="7" t="s">
        <v>32</v>
      </c>
      <c r="I7" s="9">
        <v>1090000</v>
      </c>
      <c r="J7" s="7" t="s">
        <v>46</v>
      </c>
      <c r="K7" s="10"/>
      <c r="L7" s="8"/>
    </row>
    <row r="8" spans="1:14" ht="15.75" customHeight="1" x14ac:dyDescent="0.2">
      <c r="A8" t="s">
        <v>16</v>
      </c>
      <c r="B8" s="8">
        <v>43341</v>
      </c>
      <c r="C8">
        <f t="shared" si="0"/>
        <v>35</v>
      </c>
      <c r="D8">
        <f t="shared" si="1"/>
        <v>8</v>
      </c>
      <c r="E8" t="s">
        <v>35</v>
      </c>
      <c r="F8" t="s">
        <v>66</v>
      </c>
      <c r="G8" t="s">
        <v>22</v>
      </c>
      <c r="H8" s="7" t="s">
        <v>43</v>
      </c>
      <c r="I8" s="9">
        <v>1390000</v>
      </c>
      <c r="J8" s="7" t="s">
        <v>34</v>
      </c>
      <c r="K8" s="9">
        <v>1390000</v>
      </c>
      <c r="L8" s="8">
        <v>43728</v>
      </c>
    </row>
    <row r="9" spans="1:14" ht="15.75" customHeight="1" x14ac:dyDescent="0.2">
      <c r="A9" t="s">
        <v>16</v>
      </c>
      <c r="B9" s="8">
        <v>43406</v>
      </c>
      <c r="C9">
        <f t="shared" si="0"/>
        <v>44</v>
      </c>
      <c r="D9">
        <f t="shared" si="1"/>
        <v>11</v>
      </c>
      <c r="E9" t="s">
        <v>35</v>
      </c>
      <c r="F9" t="s">
        <v>69</v>
      </c>
      <c r="G9" t="s">
        <v>37</v>
      </c>
      <c r="H9" s="7" t="s">
        <v>42</v>
      </c>
      <c r="I9" s="9">
        <v>2910000</v>
      </c>
      <c r="J9" s="7" t="s">
        <v>46</v>
      </c>
      <c r="K9" s="10"/>
      <c r="L9" s="8"/>
    </row>
    <row r="10" spans="1:14" ht="15.75" customHeight="1" x14ac:dyDescent="0.2">
      <c r="A10" t="s">
        <v>16</v>
      </c>
      <c r="B10" s="8">
        <v>43490</v>
      </c>
      <c r="C10">
        <f t="shared" si="0"/>
        <v>4</v>
      </c>
      <c r="D10">
        <f t="shared" si="1"/>
        <v>1</v>
      </c>
      <c r="E10" t="s">
        <v>70</v>
      </c>
      <c r="F10" s="7" t="s">
        <v>71</v>
      </c>
      <c r="G10" t="s">
        <v>24</v>
      </c>
      <c r="H10" s="7" t="s">
        <v>32</v>
      </c>
      <c r="I10" s="9">
        <v>1800000</v>
      </c>
      <c r="J10" s="7" t="s">
        <v>47</v>
      </c>
      <c r="K10" s="10"/>
      <c r="L10" s="8"/>
    </row>
    <row r="11" spans="1:14" ht="15.75" customHeight="1" x14ac:dyDescent="0.2">
      <c r="A11" t="s">
        <v>16</v>
      </c>
      <c r="B11" s="8">
        <v>43515</v>
      </c>
      <c r="C11">
        <f t="shared" si="0"/>
        <v>8</v>
      </c>
      <c r="D11">
        <f t="shared" si="1"/>
        <v>2</v>
      </c>
      <c r="E11" t="s">
        <v>73</v>
      </c>
      <c r="F11" t="s">
        <v>74</v>
      </c>
      <c r="G11" t="s">
        <v>26</v>
      </c>
      <c r="H11" s="7" t="s">
        <v>43</v>
      </c>
      <c r="I11" s="9">
        <v>2800000</v>
      </c>
      <c r="J11" s="7" t="s">
        <v>39</v>
      </c>
      <c r="K11" s="10"/>
      <c r="L11" s="8"/>
    </row>
    <row r="12" spans="1:14" ht="15.75" customHeight="1" x14ac:dyDescent="0.2">
      <c r="H12" t="s">
        <v>96</v>
      </c>
      <c r="I12" s="15">
        <f>AVERAGE(I2:I11)</f>
        <v>2018000</v>
      </c>
    </row>
  </sheetData>
  <dataValidations count="4">
    <dataValidation type="decimal" operator="greaterThan" allowBlank="1" showDropDown="1" showErrorMessage="1" sqref="I2:I11">
      <formula1>0</formula1>
    </dataValidation>
    <dataValidation type="custom" allowBlank="1" showDropDown="1" sqref="L2:L11">
      <formula1>OR(NOT(ISERROR(DATEVALUE(L2))), AND(ISNUMBER(L2), LEFT(CELL("format", L2))="D"))</formula1>
    </dataValidation>
    <dataValidation type="list" allowBlank="1" showErrorMessage="1" sqref="H2:H11">
      <formula1>#REF!</formula1>
    </dataValidation>
    <dataValidation type="list" allowBlank="1" showInputMessage="1" showErrorMessage="1" prompt="Нужно выбрать продукт из перечня" sqref="G2:G11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Бондарева</vt:lpstr>
      <vt:lpstr>Ешевский</vt:lpstr>
      <vt:lpstr>Новолодский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</dc:creator>
  <cp:lastModifiedBy>Римма</cp:lastModifiedBy>
  <dcterms:created xsi:type="dcterms:W3CDTF">2022-05-08T08:45:03Z</dcterms:created>
  <dcterms:modified xsi:type="dcterms:W3CDTF">2022-05-08T08:51:05Z</dcterms:modified>
</cp:coreProperties>
</file>